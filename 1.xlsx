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6.Task\15.GS\"/>
    </mc:Choice>
  </mc:AlternateContent>
  <xr:revisionPtr revIDLastSave="0" documentId="13_ncr:20001_{EE2F6608-5157-4676-9CC0-DF84764FC314}" xr6:coauthVersionLast="47" xr6:coauthVersionMax="47" xr10:uidLastSave="{00000000-0000-0000-0000-000000000000}"/>
  <bookViews>
    <workbookView xWindow="-108" yWindow="-108" windowWidth="19416" windowHeight="10416" tabRatio="260" xr2:uid="{00000000-000D-0000-FFFF-FFFF00000000}"/>
  </bookViews>
  <sheets>
    <sheet name="Sales Report" sheetId="1" r:id="rId1"/>
    <sheet name="Summary" sheetId="2" r:id="rId2"/>
  </sheets>
  <calcPr calcId="181029"/>
  <fileRecoveryPr repairLoad="1"/>
</workbook>
</file>

<file path=xl/calcChain.xml><?xml version="1.0" encoding="utf-8"?>
<calcChain xmlns="http://schemas.openxmlformats.org/spreadsheetml/2006/main">
  <c r="A506" i="1" l="1"/>
  <c r="A507" i="1" s="1"/>
  <c r="A508" i="1" s="1"/>
  <c r="A509" i="1" s="1"/>
  <c r="A510" i="1" s="1"/>
  <c r="A511" i="1" s="1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C15" i="2"/>
  <c r="B15" i="2"/>
  <c r="E14" i="2"/>
  <c r="D14" i="2"/>
  <c r="C14" i="2"/>
  <c r="B14" i="2"/>
  <c r="C13" i="2"/>
  <c r="B13" i="2"/>
  <c r="D15" i="2"/>
  <c r="E15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N511" i="1"/>
  <c r="J511" i="1"/>
  <c r="L511" i="1" s="1"/>
  <c r="N510" i="1"/>
  <c r="J510" i="1"/>
  <c r="L510" i="1" s="1"/>
  <c r="N509" i="1"/>
  <c r="J509" i="1"/>
  <c r="L509" i="1" s="1"/>
  <c r="N508" i="1"/>
  <c r="J508" i="1"/>
  <c r="L508" i="1" s="1"/>
  <c r="N507" i="1"/>
  <c r="J507" i="1"/>
  <c r="L507" i="1" s="1"/>
  <c r="N506" i="1"/>
  <c r="J506" i="1"/>
  <c r="L506" i="1" s="1"/>
  <c r="N505" i="1"/>
  <c r="J505" i="1"/>
  <c r="L505" i="1" s="1"/>
  <c r="N504" i="1"/>
  <c r="J504" i="1"/>
  <c r="L504" i="1" s="1"/>
  <c r="N503" i="1"/>
  <c r="J503" i="1"/>
  <c r="L503" i="1" s="1"/>
  <c r="N502" i="1"/>
  <c r="J502" i="1"/>
  <c r="L502" i="1" s="1"/>
  <c r="N501" i="1"/>
  <c r="J501" i="1"/>
  <c r="L501" i="1" s="1"/>
  <c r="N500" i="1"/>
  <c r="J500" i="1"/>
  <c r="L500" i="1" s="1"/>
  <c r="N499" i="1"/>
  <c r="J499" i="1"/>
  <c r="L499" i="1" s="1"/>
  <c r="N498" i="1"/>
  <c r="J498" i="1"/>
  <c r="L498" i="1" s="1"/>
  <c r="N497" i="1"/>
  <c r="J497" i="1"/>
  <c r="L497" i="1" s="1"/>
  <c r="N496" i="1"/>
  <c r="J496" i="1"/>
  <c r="L496" i="1" s="1"/>
  <c r="N495" i="1"/>
  <c r="J495" i="1"/>
  <c r="L495" i="1" s="1"/>
  <c r="N494" i="1"/>
  <c r="J494" i="1"/>
  <c r="L494" i="1" s="1"/>
  <c r="N493" i="1"/>
  <c r="L493" i="1"/>
  <c r="J493" i="1"/>
  <c r="N492" i="1"/>
  <c r="J492" i="1"/>
  <c r="L492" i="1" s="1"/>
  <c r="N491" i="1"/>
  <c r="J491" i="1"/>
  <c r="L491" i="1" s="1"/>
  <c r="N490" i="1"/>
  <c r="J490" i="1"/>
  <c r="L490" i="1" s="1"/>
  <c r="N489" i="1"/>
  <c r="L489" i="1"/>
  <c r="J489" i="1"/>
  <c r="N488" i="1"/>
  <c r="J488" i="1"/>
  <c r="L488" i="1" s="1"/>
  <c r="N487" i="1"/>
  <c r="J487" i="1"/>
  <c r="L487" i="1" s="1"/>
  <c r="N486" i="1"/>
  <c r="J486" i="1"/>
  <c r="L486" i="1" s="1"/>
  <c r="N485" i="1"/>
  <c r="L485" i="1"/>
  <c r="J485" i="1"/>
  <c r="N484" i="1"/>
  <c r="J484" i="1"/>
  <c r="L484" i="1" s="1"/>
  <c r="N483" i="1"/>
  <c r="J483" i="1"/>
  <c r="L483" i="1" s="1"/>
  <c r="N482" i="1"/>
  <c r="J482" i="1"/>
  <c r="L482" i="1" s="1"/>
  <c r="N481" i="1"/>
  <c r="L481" i="1"/>
  <c r="J481" i="1"/>
  <c r="N480" i="1"/>
  <c r="J480" i="1"/>
  <c r="L480" i="1" s="1"/>
  <c r="N479" i="1"/>
  <c r="L479" i="1"/>
  <c r="J479" i="1"/>
  <c r="N478" i="1"/>
  <c r="J478" i="1"/>
  <c r="L478" i="1" s="1"/>
  <c r="N477" i="1"/>
  <c r="J477" i="1"/>
  <c r="L477" i="1" s="1"/>
  <c r="N476" i="1"/>
  <c r="L476" i="1"/>
  <c r="J476" i="1"/>
  <c r="N475" i="1"/>
  <c r="J475" i="1"/>
  <c r="L475" i="1" s="1"/>
  <c r="N474" i="1"/>
  <c r="J474" i="1"/>
  <c r="L474" i="1" s="1"/>
  <c r="N473" i="1"/>
  <c r="J473" i="1"/>
  <c r="L473" i="1" s="1"/>
  <c r="N472" i="1"/>
  <c r="L472" i="1"/>
  <c r="J472" i="1"/>
  <c r="N471" i="1"/>
  <c r="J471" i="1"/>
  <c r="L471" i="1" s="1"/>
  <c r="N470" i="1"/>
  <c r="J470" i="1"/>
  <c r="L470" i="1" s="1"/>
  <c r="N469" i="1"/>
  <c r="J469" i="1"/>
  <c r="L469" i="1" s="1"/>
  <c r="N468" i="1"/>
  <c r="L468" i="1"/>
  <c r="J468" i="1"/>
  <c r="N467" i="1"/>
  <c r="J467" i="1"/>
  <c r="L467" i="1" s="1"/>
  <c r="N466" i="1"/>
  <c r="L466" i="1"/>
  <c r="J466" i="1"/>
  <c r="N465" i="1"/>
  <c r="J465" i="1"/>
  <c r="L465" i="1" s="1"/>
  <c r="N464" i="1"/>
  <c r="J464" i="1"/>
  <c r="L464" i="1" s="1"/>
  <c r="N463" i="1"/>
  <c r="L463" i="1"/>
  <c r="J463" i="1"/>
  <c r="N462" i="1"/>
  <c r="J462" i="1"/>
  <c r="L462" i="1" s="1"/>
  <c r="N461" i="1"/>
  <c r="J461" i="1"/>
  <c r="L461" i="1" s="1"/>
  <c r="N460" i="1"/>
  <c r="L460" i="1"/>
  <c r="J460" i="1"/>
  <c r="N459" i="1"/>
  <c r="J459" i="1"/>
  <c r="L459" i="1" s="1"/>
  <c r="N458" i="1"/>
  <c r="J458" i="1"/>
  <c r="L458" i="1" s="1"/>
  <c r="N457" i="1"/>
  <c r="J457" i="1"/>
  <c r="L457" i="1" s="1"/>
  <c r="N456" i="1"/>
  <c r="J456" i="1"/>
  <c r="L456" i="1" s="1"/>
  <c r="N455" i="1"/>
  <c r="J455" i="1"/>
  <c r="L455" i="1" s="1"/>
  <c r="N454" i="1"/>
  <c r="J454" i="1"/>
  <c r="L454" i="1" s="1"/>
  <c r="N453" i="1"/>
  <c r="J453" i="1"/>
  <c r="L453" i="1" s="1"/>
  <c r="N452" i="1"/>
  <c r="J452" i="1"/>
  <c r="L452" i="1" s="1"/>
  <c r="N451" i="1"/>
  <c r="L451" i="1"/>
  <c r="J451" i="1"/>
  <c r="N450" i="1"/>
  <c r="J450" i="1"/>
  <c r="L450" i="1" s="1"/>
  <c r="N449" i="1"/>
  <c r="J449" i="1"/>
  <c r="L449" i="1" s="1"/>
  <c r="N448" i="1"/>
  <c r="J448" i="1"/>
  <c r="L448" i="1" s="1"/>
  <c r="N447" i="1"/>
  <c r="L447" i="1"/>
  <c r="J447" i="1"/>
  <c r="N446" i="1"/>
  <c r="J446" i="1"/>
  <c r="L446" i="1" s="1"/>
  <c r="N445" i="1"/>
  <c r="J445" i="1"/>
  <c r="L445" i="1" s="1"/>
  <c r="N444" i="1"/>
  <c r="J444" i="1"/>
  <c r="L444" i="1" s="1"/>
  <c r="N443" i="1"/>
  <c r="L443" i="1"/>
  <c r="J443" i="1"/>
  <c r="N442" i="1"/>
  <c r="J442" i="1"/>
  <c r="L442" i="1" s="1"/>
  <c r="N441" i="1"/>
  <c r="J441" i="1"/>
  <c r="L441" i="1" s="1"/>
  <c r="N440" i="1"/>
  <c r="L440" i="1"/>
  <c r="J440" i="1"/>
  <c r="N439" i="1"/>
  <c r="J439" i="1"/>
  <c r="L439" i="1" s="1"/>
  <c r="N438" i="1"/>
  <c r="L438" i="1"/>
  <c r="J438" i="1"/>
  <c r="N437" i="1"/>
  <c r="J437" i="1"/>
  <c r="L437" i="1" s="1"/>
  <c r="N436" i="1"/>
  <c r="J436" i="1"/>
  <c r="L436" i="1" s="1"/>
  <c r="N435" i="1"/>
  <c r="J435" i="1"/>
  <c r="L435" i="1" s="1"/>
  <c r="N434" i="1"/>
  <c r="L434" i="1"/>
  <c r="J434" i="1"/>
  <c r="N433" i="1"/>
  <c r="L433" i="1"/>
  <c r="J433" i="1"/>
  <c r="N432" i="1"/>
  <c r="J432" i="1"/>
  <c r="L432" i="1" s="1"/>
  <c r="N431" i="1"/>
  <c r="L431" i="1"/>
  <c r="J431" i="1"/>
  <c r="N430" i="1"/>
  <c r="J430" i="1"/>
  <c r="L430" i="1" s="1"/>
  <c r="N429" i="1"/>
  <c r="L429" i="1"/>
  <c r="J429" i="1"/>
  <c r="N428" i="1"/>
  <c r="J428" i="1"/>
  <c r="L428" i="1" s="1"/>
  <c r="N427" i="1"/>
  <c r="J427" i="1"/>
  <c r="L427" i="1" s="1"/>
  <c r="N426" i="1"/>
  <c r="J426" i="1"/>
  <c r="L426" i="1" s="1"/>
  <c r="N425" i="1"/>
  <c r="L425" i="1"/>
  <c r="J425" i="1"/>
  <c r="N424" i="1"/>
  <c r="J424" i="1"/>
  <c r="L424" i="1" s="1"/>
  <c r="N423" i="1"/>
  <c r="J423" i="1"/>
  <c r="L423" i="1" s="1"/>
  <c r="N422" i="1"/>
  <c r="J422" i="1"/>
  <c r="L422" i="1" s="1"/>
  <c r="N421" i="1"/>
  <c r="J421" i="1"/>
  <c r="L421" i="1" s="1"/>
  <c r="N420" i="1"/>
  <c r="J420" i="1"/>
  <c r="L420" i="1" s="1"/>
  <c r="N419" i="1"/>
  <c r="J419" i="1"/>
  <c r="L419" i="1" s="1"/>
  <c r="N418" i="1"/>
  <c r="J418" i="1"/>
  <c r="L418" i="1" s="1"/>
  <c r="N417" i="1"/>
  <c r="J417" i="1"/>
  <c r="L417" i="1" s="1"/>
  <c r="N416" i="1"/>
  <c r="J416" i="1"/>
  <c r="L416" i="1" s="1"/>
  <c r="N415" i="1"/>
  <c r="J415" i="1"/>
  <c r="L415" i="1" s="1"/>
  <c r="N414" i="1"/>
  <c r="J414" i="1"/>
  <c r="L414" i="1" s="1"/>
  <c r="N413" i="1"/>
  <c r="J413" i="1"/>
  <c r="L413" i="1" s="1"/>
  <c r="N412" i="1"/>
  <c r="J412" i="1"/>
  <c r="L412" i="1" s="1"/>
  <c r="N411" i="1"/>
  <c r="L411" i="1"/>
  <c r="J411" i="1"/>
  <c r="N410" i="1"/>
  <c r="L410" i="1"/>
  <c r="J410" i="1"/>
  <c r="N409" i="1"/>
  <c r="L409" i="1"/>
  <c r="J409" i="1"/>
  <c r="N408" i="1"/>
  <c r="J408" i="1"/>
  <c r="L408" i="1" s="1"/>
  <c r="N407" i="1"/>
  <c r="J407" i="1"/>
  <c r="L407" i="1" s="1"/>
  <c r="N406" i="1"/>
  <c r="J406" i="1"/>
  <c r="L406" i="1" s="1"/>
  <c r="N405" i="1"/>
  <c r="J405" i="1"/>
  <c r="L405" i="1" s="1"/>
  <c r="N404" i="1"/>
  <c r="J404" i="1"/>
  <c r="L404" i="1" s="1"/>
  <c r="N403" i="1"/>
  <c r="J403" i="1"/>
  <c r="L403" i="1" s="1"/>
  <c r="N402" i="1"/>
  <c r="L402" i="1"/>
  <c r="J402" i="1"/>
  <c r="N401" i="1"/>
  <c r="J401" i="1"/>
  <c r="L401" i="1" s="1"/>
  <c r="N400" i="1"/>
  <c r="J400" i="1"/>
  <c r="L400" i="1" s="1"/>
  <c r="N399" i="1"/>
  <c r="J399" i="1"/>
  <c r="L399" i="1" s="1"/>
  <c r="N398" i="1"/>
  <c r="J398" i="1"/>
  <c r="L398" i="1" s="1"/>
  <c r="N397" i="1"/>
  <c r="L397" i="1"/>
  <c r="J397" i="1"/>
  <c r="N396" i="1"/>
  <c r="L396" i="1"/>
  <c r="J396" i="1"/>
  <c r="N395" i="1"/>
  <c r="L395" i="1"/>
  <c r="J395" i="1"/>
  <c r="N394" i="1"/>
  <c r="L394" i="1"/>
  <c r="J394" i="1"/>
  <c r="N393" i="1"/>
  <c r="J393" i="1"/>
  <c r="L393" i="1" s="1"/>
  <c r="N392" i="1"/>
  <c r="J392" i="1"/>
  <c r="L392" i="1" s="1"/>
  <c r="N391" i="1"/>
  <c r="J391" i="1"/>
  <c r="L391" i="1" s="1"/>
  <c r="N390" i="1"/>
  <c r="J390" i="1"/>
  <c r="L390" i="1" s="1"/>
  <c r="N389" i="1"/>
  <c r="J389" i="1"/>
  <c r="L389" i="1" s="1"/>
  <c r="N388" i="1"/>
  <c r="J388" i="1"/>
  <c r="L388" i="1" s="1"/>
  <c r="N387" i="1"/>
  <c r="J387" i="1"/>
  <c r="L387" i="1" s="1"/>
  <c r="N386" i="1"/>
  <c r="J386" i="1"/>
  <c r="L386" i="1" s="1"/>
  <c r="N385" i="1"/>
  <c r="J385" i="1"/>
  <c r="L385" i="1" s="1"/>
  <c r="N384" i="1"/>
  <c r="J384" i="1"/>
  <c r="L384" i="1" s="1"/>
  <c r="N383" i="1"/>
  <c r="J383" i="1"/>
  <c r="L383" i="1" s="1"/>
  <c r="N382" i="1"/>
  <c r="J382" i="1"/>
  <c r="L382" i="1" s="1"/>
  <c r="N381" i="1"/>
  <c r="J381" i="1"/>
  <c r="L381" i="1" s="1"/>
  <c r="N380" i="1"/>
  <c r="J380" i="1"/>
  <c r="L380" i="1" s="1"/>
  <c r="N379" i="1"/>
  <c r="J379" i="1"/>
  <c r="L379" i="1" s="1"/>
  <c r="N378" i="1"/>
  <c r="J378" i="1"/>
  <c r="L378" i="1" s="1"/>
  <c r="N377" i="1"/>
  <c r="J377" i="1"/>
  <c r="L377" i="1" s="1"/>
  <c r="N376" i="1"/>
  <c r="J376" i="1"/>
  <c r="L376" i="1" s="1"/>
  <c r="N375" i="1"/>
  <c r="J375" i="1"/>
  <c r="L375" i="1" s="1"/>
  <c r="N374" i="1"/>
  <c r="L374" i="1"/>
  <c r="J374" i="1"/>
  <c r="N373" i="1"/>
  <c r="J373" i="1"/>
  <c r="L373" i="1" s="1"/>
  <c r="N372" i="1"/>
  <c r="J372" i="1"/>
  <c r="L372" i="1" s="1"/>
  <c r="N371" i="1"/>
  <c r="J371" i="1"/>
  <c r="L371" i="1" s="1"/>
  <c r="N370" i="1"/>
  <c r="J370" i="1"/>
  <c r="L370" i="1" s="1"/>
  <c r="N369" i="1"/>
  <c r="J369" i="1"/>
  <c r="L369" i="1" s="1"/>
  <c r="N368" i="1"/>
  <c r="J368" i="1"/>
  <c r="L368" i="1" s="1"/>
  <c r="N367" i="1"/>
  <c r="L367" i="1"/>
  <c r="J367" i="1"/>
  <c r="N366" i="1"/>
  <c r="J366" i="1"/>
  <c r="L366" i="1" s="1"/>
  <c r="N365" i="1"/>
  <c r="J365" i="1"/>
  <c r="L365" i="1" s="1"/>
  <c r="N364" i="1"/>
  <c r="L364" i="1"/>
  <c r="J364" i="1"/>
  <c r="N363" i="1"/>
  <c r="J363" i="1"/>
  <c r="L363" i="1" s="1"/>
  <c r="N362" i="1"/>
  <c r="J362" i="1"/>
  <c r="L362" i="1" s="1"/>
  <c r="N361" i="1"/>
  <c r="J361" i="1"/>
  <c r="L361" i="1" s="1"/>
  <c r="N360" i="1"/>
  <c r="J360" i="1"/>
  <c r="L360" i="1" s="1"/>
  <c r="N359" i="1"/>
  <c r="J359" i="1"/>
  <c r="L359" i="1" s="1"/>
  <c r="N358" i="1"/>
  <c r="J358" i="1"/>
  <c r="L358" i="1" s="1"/>
  <c r="N357" i="1"/>
  <c r="J357" i="1"/>
  <c r="L357" i="1" s="1"/>
  <c r="N356" i="1"/>
  <c r="J356" i="1"/>
  <c r="L356" i="1" s="1"/>
  <c r="N355" i="1"/>
  <c r="L355" i="1"/>
  <c r="J355" i="1"/>
  <c r="N354" i="1"/>
  <c r="J354" i="1"/>
  <c r="L354" i="1" s="1"/>
  <c r="N353" i="1"/>
  <c r="J353" i="1"/>
  <c r="L353" i="1" s="1"/>
  <c r="N352" i="1"/>
  <c r="J352" i="1"/>
  <c r="L352" i="1" s="1"/>
  <c r="N351" i="1"/>
  <c r="J351" i="1"/>
  <c r="L351" i="1" s="1"/>
  <c r="N350" i="1"/>
  <c r="J350" i="1"/>
  <c r="L350" i="1" s="1"/>
  <c r="N349" i="1"/>
  <c r="L349" i="1"/>
  <c r="J349" i="1"/>
  <c r="N348" i="1"/>
  <c r="J348" i="1"/>
  <c r="L348" i="1" s="1"/>
  <c r="N347" i="1"/>
  <c r="J347" i="1"/>
  <c r="L347" i="1" s="1"/>
  <c r="N346" i="1"/>
  <c r="J346" i="1"/>
  <c r="L346" i="1" s="1"/>
  <c r="N345" i="1"/>
  <c r="J345" i="1"/>
  <c r="L345" i="1" s="1"/>
  <c r="N344" i="1"/>
  <c r="J344" i="1"/>
  <c r="L344" i="1" s="1"/>
  <c r="N343" i="1"/>
  <c r="J343" i="1"/>
  <c r="L343" i="1" s="1"/>
  <c r="N342" i="1"/>
  <c r="L342" i="1"/>
  <c r="J342" i="1"/>
  <c r="N341" i="1"/>
  <c r="J341" i="1"/>
  <c r="L341" i="1" s="1"/>
  <c r="N340" i="1"/>
  <c r="J340" i="1"/>
  <c r="L340" i="1" s="1"/>
  <c r="N339" i="1"/>
  <c r="L339" i="1"/>
  <c r="J339" i="1"/>
  <c r="N338" i="1"/>
  <c r="J338" i="1"/>
  <c r="L338" i="1" s="1"/>
  <c r="N337" i="1"/>
  <c r="J337" i="1"/>
  <c r="L337" i="1" s="1"/>
  <c r="N336" i="1"/>
  <c r="J336" i="1"/>
  <c r="L336" i="1" s="1"/>
  <c r="N335" i="1"/>
  <c r="J335" i="1"/>
  <c r="L335" i="1" s="1"/>
  <c r="N334" i="1"/>
  <c r="J334" i="1"/>
  <c r="L334" i="1" s="1"/>
  <c r="N333" i="1"/>
  <c r="J333" i="1"/>
  <c r="L333" i="1" s="1"/>
  <c r="N332" i="1"/>
  <c r="J332" i="1"/>
  <c r="L332" i="1" s="1"/>
  <c r="N331" i="1"/>
  <c r="J331" i="1"/>
  <c r="L331" i="1" s="1"/>
  <c r="N330" i="1"/>
  <c r="J330" i="1"/>
  <c r="L330" i="1" s="1"/>
  <c r="N329" i="1"/>
  <c r="J329" i="1"/>
  <c r="L329" i="1" s="1"/>
  <c r="N328" i="1"/>
  <c r="J328" i="1"/>
  <c r="L328" i="1" s="1"/>
  <c r="N327" i="1"/>
  <c r="J327" i="1"/>
  <c r="L327" i="1" s="1"/>
  <c r="N326" i="1"/>
  <c r="J326" i="1"/>
  <c r="L326" i="1" s="1"/>
  <c r="N325" i="1"/>
  <c r="J325" i="1"/>
  <c r="L325" i="1" s="1"/>
  <c r="N324" i="1"/>
  <c r="J324" i="1"/>
  <c r="L324" i="1" s="1"/>
  <c r="N323" i="1"/>
  <c r="J323" i="1"/>
  <c r="L323" i="1" s="1"/>
  <c r="N322" i="1"/>
  <c r="J322" i="1"/>
  <c r="L322" i="1" s="1"/>
  <c r="N321" i="1"/>
  <c r="J321" i="1"/>
  <c r="L321" i="1" s="1"/>
  <c r="N320" i="1"/>
  <c r="L320" i="1"/>
  <c r="J320" i="1"/>
  <c r="N319" i="1"/>
  <c r="J319" i="1"/>
  <c r="L319" i="1" s="1"/>
  <c r="N318" i="1"/>
  <c r="J318" i="1"/>
  <c r="L318" i="1" s="1"/>
  <c r="N317" i="1"/>
  <c r="J317" i="1"/>
  <c r="L317" i="1" s="1"/>
  <c r="N316" i="1"/>
  <c r="J316" i="1"/>
  <c r="L316" i="1" s="1"/>
  <c r="N315" i="1"/>
  <c r="L315" i="1"/>
  <c r="J315" i="1"/>
  <c r="N314" i="1"/>
  <c r="J314" i="1"/>
  <c r="L314" i="1" s="1"/>
  <c r="N313" i="1"/>
  <c r="J313" i="1"/>
  <c r="L313" i="1" s="1"/>
  <c r="N312" i="1"/>
  <c r="L312" i="1"/>
  <c r="J312" i="1"/>
  <c r="N311" i="1"/>
  <c r="J311" i="1"/>
  <c r="L311" i="1" s="1"/>
  <c r="N310" i="1"/>
  <c r="J310" i="1"/>
  <c r="L310" i="1" s="1"/>
  <c r="N309" i="1"/>
  <c r="J309" i="1"/>
  <c r="L309" i="1" s="1"/>
  <c r="N308" i="1"/>
  <c r="J308" i="1"/>
  <c r="L308" i="1" s="1"/>
  <c r="N307" i="1"/>
  <c r="J307" i="1"/>
  <c r="L307" i="1" s="1"/>
  <c r="N306" i="1"/>
  <c r="J306" i="1"/>
  <c r="L306" i="1" s="1"/>
  <c r="N305" i="1"/>
  <c r="J305" i="1"/>
  <c r="L305" i="1" s="1"/>
  <c r="N304" i="1"/>
  <c r="J304" i="1"/>
  <c r="L304" i="1" s="1"/>
  <c r="N303" i="1"/>
  <c r="J303" i="1"/>
  <c r="L303" i="1" s="1"/>
  <c r="N302" i="1"/>
  <c r="L302" i="1"/>
  <c r="J302" i="1"/>
  <c r="N301" i="1"/>
  <c r="J301" i="1"/>
  <c r="L301" i="1" s="1"/>
  <c r="N300" i="1"/>
  <c r="J300" i="1"/>
  <c r="L300" i="1" s="1"/>
  <c r="N299" i="1"/>
  <c r="J299" i="1"/>
  <c r="L299" i="1" s="1"/>
  <c r="N298" i="1"/>
  <c r="J298" i="1"/>
  <c r="L298" i="1" s="1"/>
  <c r="N297" i="1"/>
  <c r="J297" i="1"/>
  <c r="L297" i="1" s="1"/>
  <c r="N296" i="1"/>
  <c r="L296" i="1"/>
  <c r="J296" i="1"/>
  <c r="N295" i="1"/>
  <c r="J295" i="1"/>
  <c r="L295" i="1" s="1"/>
  <c r="N294" i="1"/>
  <c r="J294" i="1"/>
  <c r="L294" i="1" s="1"/>
  <c r="N293" i="1"/>
  <c r="J293" i="1"/>
  <c r="L293" i="1" s="1"/>
  <c r="N292" i="1"/>
  <c r="J292" i="1"/>
  <c r="L292" i="1" s="1"/>
  <c r="N291" i="1"/>
  <c r="J291" i="1"/>
  <c r="L291" i="1" s="1"/>
  <c r="N290" i="1"/>
  <c r="J290" i="1"/>
  <c r="L290" i="1" s="1"/>
  <c r="N289" i="1"/>
  <c r="J289" i="1"/>
  <c r="L289" i="1" s="1"/>
  <c r="N288" i="1"/>
  <c r="J288" i="1"/>
  <c r="L288" i="1" s="1"/>
  <c r="N287" i="1"/>
  <c r="J287" i="1"/>
  <c r="L287" i="1" s="1"/>
  <c r="N286" i="1"/>
  <c r="L286" i="1"/>
  <c r="J286" i="1"/>
  <c r="N285" i="1"/>
  <c r="L285" i="1"/>
  <c r="J285" i="1"/>
  <c r="N284" i="1"/>
  <c r="J284" i="1"/>
  <c r="L284" i="1" s="1"/>
  <c r="N283" i="1"/>
  <c r="J283" i="1"/>
  <c r="L283" i="1" s="1"/>
  <c r="N282" i="1"/>
  <c r="J282" i="1"/>
  <c r="L282" i="1" s="1"/>
  <c r="N281" i="1"/>
  <c r="J281" i="1"/>
  <c r="L281" i="1" s="1"/>
  <c r="N280" i="1"/>
  <c r="J280" i="1"/>
  <c r="L280" i="1" s="1"/>
  <c r="N279" i="1"/>
  <c r="J279" i="1"/>
  <c r="L279" i="1" s="1"/>
  <c r="N278" i="1"/>
  <c r="J278" i="1"/>
  <c r="L278" i="1" s="1"/>
  <c r="N277" i="1"/>
  <c r="J277" i="1"/>
  <c r="L277" i="1" s="1"/>
  <c r="N276" i="1"/>
  <c r="L276" i="1"/>
  <c r="J276" i="1"/>
  <c r="N275" i="1"/>
  <c r="J275" i="1"/>
  <c r="L275" i="1" s="1"/>
  <c r="N274" i="1"/>
  <c r="L274" i="1"/>
  <c r="J274" i="1"/>
  <c r="N273" i="1"/>
  <c r="J273" i="1"/>
  <c r="L273" i="1" s="1"/>
  <c r="N272" i="1"/>
  <c r="J272" i="1"/>
  <c r="L272" i="1" s="1"/>
  <c r="N271" i="1"/>
  <c r="J271" i="1"/>
  <c r="L271" i="1" s="1"/>
  <c r="N270" i="1"/>
  <c r="J270" i="1"/>
  <c r="L270" i="1" s="1"/>
  <c r="N269" i="1"/>
  <c r="J269" i="1"/>
  <c r="L269" i="1" s="1"/>
  <c r="N268" i="1"/>
  <c r="J268" i="1"/>
  <c r="L268" i="1" s="1"/>
  <c r="N267" i="1"/>
  <c r="J267" i="1"/>
  <c r="L267" i="1" s="1"/>
  <c r="N266" i="1"/>
  <c r="J266" i="1"/>
  <c r="L266" i="1" s="1"/>
  <c r="N265" i="1"/>
  <c r="J265" i="1"/>
  <c r="L265" i="1" s="1"/>
  <c r="N264" i="1"/>
  <c r="J264" i="1"/>
  <c r="L264" i="1" s="1"/>
  <c r="N263" i="1"/>
  <c r="J263" i="1"/>
  <c r="L263" i="1" s="1"/>
  <c r="N262" i="1"/>
  <c r="J262" i="1"/>
  <c r="L262" i="1" s="1"/>
  <c r="N261" i="1"/>
  <c r="J261" i="1"/>
  <c r="L261" i="1" s="1"/>
  <c r="N260" i="1"/>
  <c r="J260" i="1"/>
  <c r="L260" i="1" s="1"/>
  <c r="N259" i="1"/>
  <c r="J259" i="1"/>
  <c r="L259" i="1" s="1"/>
  <c r="N258" i="1"/>
  <c r="J258" i="1"/>
  <c r="L258" i="1" s="1"/>
  <c r="N257" i="1"/>
  <c r="J257" i="1"/>
  <c r="L257" i="1" s="1"/>
  <c r="N256" i="1"/>
  <c r="J256" i="1"/>
  <c r="L256" i="1" s="1"/>
  <c r="N255" i="1"/>
  <c r="J255" i="1"/>
  <c r="L255" i="1" s="1"/>
  <c r="N254" i="1"/>
  <c r="J254" i="1"/>
  <c r="L254" i="1" s="1"/>
  <c r="N253" i="1"/>
  <c r="J253" i="1"/>
  <c r="L253" i="1" s="1"/>
  <c r="N252" i="1"/>
  <c r="J252" i="1"/>
  <c r="L252" i="1" s="1"/>
  <c r="N251" i="1"/>
  <c r="J251" i="1"/>
  <c r="L251" i="1" s="1"/>
  <c r="N250" i="1"/>
  <c r="J250" i="1"/>
  <c r="L250" i="1" s="1"/>
  <c r="N249" i="1"/>
  <c r="L249" i="1"/>
  <c r="J249" i="1"/>
  <c r="N248" i="1"/>
  <c r="J248" i="1"/>
  <c r="L248" i="1" s="1"/>
  <c r="N247" i="1"/>
  <c r="J247" i="1"/>
  <c r="L247" i="1" s="1"/>
  <c r="N246" i="1"/>
  <c r="J246" i="1"/>
  <c r="L246" i="1" s="1"/>
  <c r="N245" i="1"/>
  <c r="J245" i="1"/>
  <c r="L245" i="1" s="1"/>
  <c r="N244" i="1"/>
  <c r="J244" i="1"/>
  <c r="L244" i="1" s="1"/>
  <c r="N243" i="1"/>
  <c r="J243" i="1"/>
  <c r="L243" i="1" s="1"/>
  <c r="N242" i="1"/>
  <c r="J242" i="1"/>
  <c r="L242" i="1" s="1"/>
  <c r="N241" i="1"/>
  <c r="J241" i="1"/>
  <c r="L241" i="1" s="1"/>
  <c r="N240" i="1"/>
  <c r="L240" i="1"/>
  <c r="J240" i="1"/>
  <c r="N239" i="1"/>
  <c r="J239" i="1"/>
  <c r="L239" i="1" s="1"/>
  <c r="N238" i="1"/>
  <c r="J238" i="1"/>
  <c r="L238" i="1" s="1"/>
  <c r="N237" i="1"/>
  <c r="J237" i="1"/>
  <c r="L237" i="1" s="1"/>
  <c r="N236" i="1"/>
  <c r="J236" i="1"/>
  <c r="L236" i="1" s="1"/>
  <c r="N235" i="1"/>
  <c r="J235" i="1"/>
  <c r="L235" i="1" s="1"/>
  <c r="N234" i="1"/>
  <c r="L234" i="1"/>
  <c r="J234" i="1"/>
  <c r="N233" i="1"/>
  <c r="J233" i="1"/>
  <c r="L233" i="1" s="1"/>
  <c r="N232" i="1"/>
  <c r="J232" i="1"/>
  <c r="L232" i="1" s="1"/>
  <c r="N231" i="1"/>
  <c r="J231" i="1"/>
  <c r="L231" i="1" s="1"/>
  <c r="N230" i="1"/>
  <c r="J230" i="1"/>
  <c r="L230" i="1" s="1"/>
  <c r="N229" i="1"/>
  <c r="J229" i="1"/>
  <c r="L229" i="1" s="1"/>
  <c r="N228" i="1"/>
  <c r="J228" i="1"/>
  <c r="L228" i="1" s="1"/>
  <c r="N227" i="1"/>
  <c r="J227" i="1"/>
  <c r="L227" i="1" s="1"/>
  <c r="N226" i="1"/>
  <c r="J226" i="1"/>
  <c r="L226" i="1" s="1"/>
  <c r="N225" i="1"/>
  <c r="J225" i="1"/>
  <c r="L225" i="1" s="1"/>
  <c r="N224" i="1"/>
  <c r="J224" i="1"/>
  <c r="L224" i="1" s="1"/>
  <c r="N223" i="1"/>
  <c r="J223" i="1"/>
  <c r="L223" i="1" s="1"/>
  <c r="N222" i="1"/>
  <c r="J222" i="1"/>
  <c r="L222" i="1" s="1"/>
  <c r="N221" i="1"/>
  <c r="J221" i="1"/>
  <c r="L221" i="1" s="1"/>
  <c r="N220" i="1"/>
  <c r="J220" i="1"/>
  <c r="L220" i="1" s="1"/>
  <c r="N219" i="1"/>
  <c r="L219" i="1"/>
  <c r="J219" i="1"/>
  <c r="N218" i="1"/>
  <c r="J218" i="1"/>
  <c r="L218" i="1" s="1"/>
  <c r="N217" i="1"/>
  <c r="J217" i="1"/>
  <c r="L217" i="1" s="1"/>
  <c r="N216" i="1"/>
  <c r="J216" i="1"/>
  <c r="L216" i="1" s="1"/>
  <c r="N215" i="1"/>
  <c r="J215" i="1"/>
  <c r="L215" i="1" s="1"/>
  <c r="N214" i="1"/>
  <c r="J214" i="1"/>
  <c r="L214" i="1" s="1"/>
  <c r="N213" i="1"/>
  <c r="J213" i="1"/>
  <c r="L213" i="1" s="1"/>
  <c r="N212" i="1"/>
  <c r="J212" i="1"/>
  <c r="L212" i="1" s="1"/>
  <c r="N211" i="1"/>
  <c r="J211" i="1"/>
  <c r="L211" i="1" s="1"/>
  <c r="N210" i="1"/>
  <c r="J210" i="1"/>
  <c r="L210" i="1" s="1"/>
  <c r="N209" i="1"/>
  <c r="J209" i="1"/>
  <c r="L209" i="1" s="1"/>
  <c r="N208" i="1"/>
  <c r="J208" i="1"/>
  <c r="L208" i="1" s="1"/>
  <c r="N207" i="1"/>
  <c r="J207" i="1"/>
  <c r="L207" i="1" s="1"/>
  <c r="N206" i="1"/>
  <c r="J206" i="1"/>
  <c r="L206" i="1" s="1"/>
  <c r="N205" i="1"/>
  <c r="J205" i="1"/>
  <c r="L205" i="1" s="1"/>
  <c r="N204" i="1"/>
  <c r="J204" i="1"/>
  <c r="L204" i="1" s="1"/>
  <c r="N203" i="1"/>
  <c r="J203" i="1"/>
  <c r="L203" i="1" s="1"/>
  <c r="N202" i="1"/>
  <c r="J202" i="1"/>
  <c r="L202" i="1" s="1"/>
  <c r="N201" i="1"/>
  <c r="L201" i="1"/>
  <c r="J201" i="1"/>
  <c r="N200" i="1"/>
  <c r="J200" i="1"/>
  <c r="L200" i="1" s="1"/>
  <c r="N199" i="1"/>
  <c r="J199" i="1"/>
  <c r="L199" i="1" s="1"/>
  <c r="N198" i="1"/>
  <c r="J198" i="1"/>
  <c r="L198" i="1" s="1"/>
  <c r="N197" i="1"/>
  <c r="J197" i="1"/>
  <c r="L197" i="1" s="1"/>
  <c r="N196" i="1"/>
  <c r="J196" i="1"/>
  <c r="L196" i="1" s="1"/>
  <c r="N195" i="1"/>
  <c r="J195" i="1"/>
  <c r="L195" i="1" s="1"/>
  <c r="N194" i="1"/>
  <c r="J194" i="1"/>
  <c r="L194" i="1" s="1"/>
  <c r="N193" i="1"/>
  <c r="J193" i="1"/>
  <c r="L193" i="1" s="1"/>
  <c r="N192" i="1"/>
  <c r="J192" i="1"/>
  <c r="L192" i="1" s="1"/>
  <c r="N191" i="1"/>
  <c r="J191" i="1"/>
  <c r="L191" i="1" s="1"/>
  <c r="N190" i="1"/>
  <c r="J190" i="1"/>
  <c r="L190" i="1" s="1"/>
  <c r="N189" i="1"/>
  <c r="J189" i="1"/>
  <c r="L189" i="1" s="1"/>
  <c r="N188" i="1"/>
  <c r="J188" i="1"/>
  <c r="L188" i="1" s="1"/>
  <c r="N187" i="1"/>
  <c r="J187" i="1"/>
  <c r="L187" i="1" s="1"/>
  <c r="N186" i="1"/>
  <c r="J186" i="1"/>
  <c r="L186" i="1" s="1"/>
  <c r="N185" i="1"/>
  <c r="J185" i="1"/>
  <c r="L185" i="1" s="1"/>
  <c r="N184" i="1"/>
  <c r="J184" i="1"/>
  <c r="L184" i="1" s="1"/>
  <c r="N183" i="1"/>
  <c r="J183" i="1"/>
  <c r="L183" i="1" s="1"/>
  <c r="N182" i="1"/>
  <c r="J182" i="1"/>
  <c r="L182" i="1" s="1"/>
  <c r="N181" i="1"/>
  <c r="J181" i="1"/>
  <c r="L181" i="1" s="1"/>
  <c r="N180" i="1"/>
  <c r="J180" i="1"/>
  <c r="L180" i="1" s="1"/>
  <c r="N179" i="1"/>
  <c r="J179" i="1"/>
  <c r="L179" i="1" s="1"/>
  <c r="N178" i="1"/>
  <c r="J178" i="1"/>
  <c r="L178" i="1" s="1"/>
  <c r="N177" i="1"/>
  <c r="J177" i="1"/>
  <c r="L177" i="1" s="1"/>
  <c r="N176" i="1"/>
  <c r="J176" i="1"/>
  <c r="L176" i="1" s="1"/>
  <c r="N175" i="1"/>
  <c r="J175" i="1"/>
  <c r="L175" i="1" s="1"/>
  <c r="N174" i="1"/>
  <c r="J174" i="1"/>
  <c r="L174" i="1" s="1"/>
  <c r="N173" i="1"/>
  <c r="J173" i="1"/>
  <c r="L173" i="1" s="1"/>
  <c r="N172" i="1"/>
  <c r="J172" i="1"/>
  <c r="L172" i="1" s="1"/>
  <c r="N171" i="1"/>
  <c r="J171" i="1"/>
  <c r="L171" i="1" s="1"/>
  <c r="N170" i="1"/>
  <c r="J170" i="1"/>
  <c r="L170" i="1" s="1"/>
  <c r="N169" i="1"/>
  <c r="J169" i="1"/>
  <c r="L169" i="1" s="1"/>
  <c r="N168" i="1"/>
  <c r="J168" i="1"/>
  <c r="L168" i="1" s="1"/>
  <c r="N167" i="1"/>
  <c r="J167" i="1"/>
  <c r="L167" i="1" s="1"/>
  <c r="N166" i="1"/>
  <c r="J166" i="1"/>
  <c r="L166" i="1" s="1"/>
  <c r="N165" i="1"/>
  <c r="J165" i="1"/>
  <c r="L165" i="1" s="1"/>
  <c r="N164" i="1"/>
  <c r="J164" i="1"/>
  <c r="L164" i="1" s="1"/>
  <c r="N163" i="1"/>
  <c r="J163" i="1"/>
  <c r="L163" i="1" s="1"/>
  <c r="N162" i="1"/>
  <c r="J162" i="1"/>
  <c r="L162" i="1" s="1"/>
  <c r="N161" i="1"/>
  <c r="J161" i="1"/>
  <c r="L161" i="1" s="1"/>
  <c r="N160" i="1"/>
  <c r="J160" i="1"/>
  <c r="L160" i="1" s="1"/>
  <c r="N159" i="1"/>
  <c r="L159" i="1"/>
  <c r="J159" i="1"/>
  <c r="N158" i="1"/>
  <c r="J158" i="1"/>
  <c r="L158" i="1" s="1"/>
  <c r="N157" i="1"/>
  <c r="J157" i="1"/>
  <c r="L157" i="1" s="1"/>
  <c r="N156" i="1"/>
  <c r="L156" i="1"/>
  <c r="J156" i="1"/>
  <c r="N155" i="1"/>
  <c r="J155" i="1"/>
  <c r="L155" i="1" s="1"/>
  <c r="N154" i="1"/>
  <c r="L154" i="1"/>
  <c r="J154" i="1"/>
  <c r="N153" i="1"/>
  <c r="J153" i="1"/>
  <c r="L153" i="1" s="1"/>
  <c r="N152" i="1"/>
  <c r="J152" i="1"/>
  <c r="L152" i="1" s="1"/>
  <c r="N151" i="1"/>
  <c r="J151" i="1"/>
  <c r="L151" i="1" s="1"/>
  <c r="N150" i="1"/>
  <c r="J150" i="1"/>
  <c r="L150" i="1" s="1"/>
  <c r="N149" i="1"/>
  <c r="L149" i="1"/>
  <c r="J149" i="1"/>
  <c r="N148" i="1"/>
  <c r="J148" i="1"/>
  <c r="L148" i="1" s="1"/>
  <c r="N147" i="1"/>
  <c r="J147" i="1"/>
  <c r="L147" i="1" s="1"/>
  <c r="N146" i="1"/>
  <c r="L146" i="1"/>
  <c r="J146" i="1"/>
  <c r="N145" i="1"/>
  <c r="J145" i="1"/>
  <c r="L145" i="1" s="1"/>
  <c r="N144" i="1"/>
  <c r="L144" i="1"/>
  <c r="J144" i="1"/>
  <c r="N143" i="1"/>
  <c r="L143" i="1"/>
  <c r="J143" i="1"/>
  <c r="N142" i="1"/>
  <c r="J142" i="1"/>
  <c r="L142" i="1" s="1"/>
  <c r="N141" i="1"/>
  <c r="J141" i="1"/>
  <c r="L141" i="1" s="1"/>
  <c r="N140" i="1"/>
  <c r="J140" i="1"/>
  <c r="L140" i="1" s="1"/>
  <c r="N139" i="1"/>
  <c r="J139" i="1"/>
  <c r="L139" i="1" s="1"/>
  <c r="N138" i="1"/>
  <c r="J138" i="1"/>
  <c r="L138" i="1" s="1"/>
  <c r="N137" i="1"/>
  <c r="J137" i="1"/>
  <c r="L137" i="1" s="1"/>
  <c r="N136" i="1"/>
  <c r="J136" i="1"/>
  <c r="L136" i="1" s="1"/>
  <c r="N135" i="1"/>
  <c r="J135" i="1"/>
  <c r="L135" i="1" s="1"/>
  <c r="N134" i="1"/>
  <c r="L134" i="1"/>
  <c r="J134" i="1"/>
  <c r="N133" i="1"/>
  <c r="L133" i="1"/>
  <c r="J133" i="1"/>
  <c r="N132" i="1"/>
  <c r="L132" i="1"/>
  <c r="J132" i="1"/>
  <c r="N131" i="1"/>
  <c r="J131" i="1"/>
  <c r="L131" i="1" s="1"/>
  <c r="N130" i="1"/>
  <c r="J130" i="1"/>
  <c r="L130" i="1" s="1"/>
  <c r="N129" i="1"/>
  <c r="J129" i="1"/>
  <c r="L129" i="1" s="1"/>
  <c r="N128" i="1"/>
  <c r="L128" i="1"/>
  <c r="J128" i="1"/>
  <c r="N127" i="1"/>
  <c r="J127" i="1"/>
  <c r="L127" i="1" s="1"/>
  <c r="N126" i="1"/>
  <c r="J126" i="1"/>
  <c r="L126" i="1" s="1"/>
  <c r="N125" i="1"/>
  <c r="J125" i="1"/>
  <c r="L125" i="1" s="1"/>
  <c r="N124" i="1"/>
  <c r="J124" i="1"/>
  <c r="L124" i="1" s="1"/>
  <c r="N123" i="1"/>
  <c r="L123" i="1"/>
  <c r="J123" i="1"/>
  <c r="N122" i="1"/>
  <c r="L122" i="1"/>
  <c r="J122" i="1"/>
  <c r="N121" i="1"/>
  <c r="J121" i="1"/>
  <c r="L121" i="1" s="1"/>
  <c r="N120" i="1"/>
  <c r="J120" i="1"/>
  <c r="L120" i="1" s="1"/>
  <c r="N119" i="1"/>
  <c r="J119" i="1"/>
  <c r="L119" i="1" s="1"/>
  <c r="N118" i="1"/>
  <c r="J118" i="1"/>
  <c r="L118" i="1" s="1"/>
  <c r="N117" i="1"/>
  <c r="J117" i="1"/>
  <c r="L117" i="1" s="1"/>
  <c r="N116" i="1"/>
  <c r="J116" i="1"/>
  <c r="L116" i="1" s="1"/>
  <c r="N115" i="1"/>
  <c r="L115" i="1"/>
  <c r="J115" i="1"/>
  <c r="N114" i="1"/>
  <c r="J114" i="1"/>
  <c r="L114" i="1" s="1"/>
  <c r="N113" i="1"/>
  <c r="L113" i="1"/>
  <c r="J113" i="1"/>
  <c r="N112" i="1"/>
  <c r="J112" i="1"/>
  <c r="L112" i="1" s="1"/>
  <c r="N111" i="1"/>
  <c r="L111" i="1"/>
  <c r="J111" i="1"/>
  <c r="N110" i="1"/>
  <c r="J110" i="1"/>
  <c r="L110" i="1" s="1"/>
  <c r="N109" i="1"/>
  <c r="J109" i="1"/>
  <c r="L109" i="1" s="1"/>
  <c r="N108" i="1"/>
  <c r="J108" i="1"/>
  <c r="L108" i="1" s="1"/>
  <c r="N107" i="1"/>
  <c r="J107" i="1"/>
  <c r="L107" i="1" s="1"/>
  <c r="N106" i="1"/>
  <c r="J106" i="1"/>
  <c r="L106" i="1" s="1"/>
  <c r="N105" i="1"/>
  <c r="J105" i="1"/>
  <c r="L105" i="1" s="1"/>
  <c r="N104" i="1"/>
  <c r="L104" i="1"/>
  <c r="J104" i="1"/>
  <c r="N103" i="1"/>
  <c r="J103" i="1"/>
  <c r="L103" i="1" s="1"/>
  <c r="N102" i="1"/>
  <c r="L102" i="1"/>
  <c r="J102" i="1"/>
  <c r="N101" i="1"/>
  <c r="J101" i="1"/>
  <c r="L101" i="1" s="1"/>
  <c r="N100" i="1"/>
  <c r="L100" i="1"/>
  <c r="J100" i="1"/>
  <c r="N99" i="1"/>
  <c r="J99" i="1"/>
  <c r="L99" i="1" s="1"/>
  <c r="N98" i="1"/>
  <c r="J98" i="1"/>
  <c r="L98" i="1" s="1"/>
  <c r="N97" i="1"/>
  <c r="J97" i="1"/>
  <c r="L97" i="1" s="1"/>
  <c r="N96" i="1"/>
  <c r="J96" i="1"/>
  <c r="L96" i="1" s="1"/>
  <c r="N95" i="1"/>
  <c r="L95" i="1"/>
  <c r="J95" i="1"/>
  <c r="N94" i="1"/>
  <c r="J94" i="1"/>
  <c r="L94" i="1" s="1"/>
  <c r="N93" i="1"/>
  <c r="J93" i="1"/>
  <c r="L93" i="1" s="1"/>
  <c r="N92" i="1"/>
  <c r="J92" i="1"/>
  <c r="L92" i="1" s="1"/>
  <c r="N91" i="1"/>
  <c r="J91" i="1"/>
  <c r="L91" i="1" s="1"/>
  <c r="N90" i="1"/>
  <c r="J90" i="1"/>
  <c r="L90" i="1" s="1"/>
  <c r="N89" i="1"/>
  <c r="L89" i="1"/>
  <c r="J89" i="1"/>
  <c r="N88" i="1"/>
  <c r="J88" i="1"/>
  <c r="L88" i="1" s="1"/>
  <c r="N87" i="1"/>
  <c r="L87" i="1"/>
  <c r="J87" i="1"/>
  <c r="N86" i="1"/>
  <c r="J86" i="1"/>
  <c r="L86" i="1" s="1"/>
  <c r="N85" i="1"/>
  <c r="L85" i="1"/>
  <c r="J85" i="1"/>
  <c r="N84" i="1"/>
  <c r="L84" i="1"/>
  <c r="J84" i="1"/>
  <c r="N83" i="1"/>
  <c r="J83" i="1"/>
  <c r="L83" i="1" s="1"/>
  <c r="N82" i="1"/>
  <c r="J82" i="1"/>
  <c r="L82" i="1" s="1"/>
  <c r="N81" i="1"/>
  <c r="J81" i="1"/>
  <c r="L81" i="1" s="1"/>
  <c r="N80" i="1"/>
  <c r="J80" i="1"/>
  <c r="L80" i="1" s="1"/>
  <c r="N79" i="1"/>
  <c r="J79" i="1"/>
  <c r="L79" i="1" s="1"/>
  <c r="N78" i="1"/>
  <c r="J78" i="1"/>
  <c r="L78" i="1" s="1"/>
  <c r="N77" i="1"/>
  <c r="J77" i="1"/>
  <c r="L77" i="1" s="1"/>
  <c r="N76" i="1"/>
  <c r="J76" i="1"/>
  <c r="L76" i="1" s="1"/>
  <c r="N75" i="1"/>
  <c r="L75" i="1"/>
  <c r="J75" i="1"/>
  <c r="N74" i="1"/>
  <c r="J74" i="1"/>
  <c r="L74" i="1" s="1"/>
  <c r="N73" i="1"/>
  <c r="J73" i="1"/>
  <c r="L73" i="1" s="1"/>
  <c r="N72" i="1"/>
  <c r="L72" i="1"/>
  <c r="J72" i="1"/>
  <c r="N71" i="1"/>
  <c r="J71" i="1"/>
  <c r="L71" i="1" s="1"/>
  <c r="N70" i="1"/>
  <c r="J70" i="1"/>
  <c r="L70" i="1" s="1"/>
  <c r="N69" i="1"/>
  <c r="L69" i="1"/>
  <c r="J69" i="1"/>
  <c r="N68" i="1"/>
  <c r="L68" i="1"/>
  <c r="J68" i="1"/>
  <c r="N67" i="1"/>
  <c r="J67" i="1"/>
  <c r="L67" i="1" s="1"/>
  <c r="N66" i="1"/>
  <c r="L66" i="1"/>
  <c r="J66" i="1"/>
  <c r="N65" i="1"/>
  <c r="J65" i="1"/>
  <c r="L65" i="1" s="1"/>
  <c r="N64" i="1"/>
  <c r="J64" i="1"/>
  <c r="L64" i="1" s="1"/>
  <c r="N63" i="1"/>
  <c r="J63" i="1"/>
  <c r="L63" i="1" s="1"/>
  <c r="N62" i="1"/>
  <c r="J62" i="1"/>
  <c r="L62" i="1" s="1"/>
  <c r="N61" i="1"/>
  <c r="J61" i="1"/>
  <c r="L61" i="1" s="1"/>
  <c r="N60" i="1"/>
  <c r="J60" i="1"/>
  <c r="L60" i="1" s="1"/>
  <c r="N59" i="1"/>
  <c r="J59" i="1"/>
  <c r="L59" i="1" s="1"/>
  <c r="N58" i="1"/>
  <c r="L58" i="1"/>
  <c r="J58" i="1"/>
  <c r="N57" i="1"/>
  <c r="J57" i="1"/>
  <c r="L57" i="1" s="1"/>
  <c r="N56" i="1"/>
  <c r="J56" i="1"/>
  <c r="L56" i="1" s="1"/>
  <c r="N55" i="1"/>
  <c r="J55" i="1"/>
  <c r="L55" i="1" s="1"/>
  <c r="N54" i="1"/>
  <c r="J54" i="1"/>
  <c r="L54" i="1" s="1"/>
  <c r="N53" i="1"/>
  <c r="J53" i="1"/>
  <c r="L53" i="1" s="1"/>
  <c r="N52" i="1"/>
  <c r="J52" i="1"/>
  <c r="L52" i="1" s="1"/>
  <c r="N51" i="1"/>
  <c r="J51" i="1"/>
  <c r="L51" i="1" s="1"/>
  <c r="N50" i="1"/>
  <c r="J50" i="1"/>
  <c r="L50" i="1" s="1"/>
  <c r="N49" i="1"/>
  <c r="J49" i="1"/>
  <c r="L49" i="1" s="1"/>
  <c r="N48" i="1"/>
  <c r="J48" i="1"/>
  <c r="L48" i="1" s="1"/>
  <c r="N47" i="1"/>
  <c r="J47" i="1"/>
  <c r="L47" i="1" s="1"/>
  <c r="N46" i="1"/>
  <c r="J46" i="1"/>
  <c r="L46" i="1" s="1"/>
  <c r="N45" i="1"/>
  <c r="J45" i="1"/>
  <c r="L45" i="1" s="1"/>
  <c r="N44" i="1"/>
  <c r="L44" i="1"/>
  <c r="J44" i="1"/>
  <c r="N43" i="1"/>
  <c r="J43" i="1"/>
  <c r="L43" i="1" s="1"/>
  <c r="N42" i="1"/>
  <c r="J42" i="1"/>
  <c r="L42" i="1" s="1"/>
  <c r="N41" i="1"/>
  <c r="J41" i="1"/>
  <c r="L41" i="1" s="1"/>
  <c r="N40" i="1"/>
  <c r="L40" i="1"/>
  <c r="J40" i="1"/>
  <c r="N39" i="1"/>
  <c r="J39" i="1"/>
  <c r="L39" i="1" s="1"/>
  <c r="N38" i="1"/>
  <c r="L38" i="1"/>
  <c r="J38" i="1"/>
  <c r="N37" i="1"/>
  <c r="J37" i="1"/>
  <c r="L37" i="1" s="1"/>
  <c r="N36" i="1"/>
  <c r="J36" i="1"/>
  <c r="L36" i="1" s="1"/>
  <c r="N35" i="1"/>
  <c r="L35" i="1"/>
  <c r="J35" i="1"/>
  <c r="N34" i="1"/>
  <c r="J34" i="1"/>
  <c r="L34" i="1" s="1"/>
  <c r="N33" i="1"/>
  <c r="J33" i="1"/>
  <c r="L33" i="1" s="1"/>
  <c r="N32" i="1"/>
  <c r="L32" i="1"/>
  <c r="J32" i="1"/>
  <c r="N31" i="1"/>
  <c r="J31" i="1"/>
  <c r="L31" i="1" s="1"/>
  <c r="N30" i="1"/>
  <c r="J30" i="1"/>
  <c r="L30" i="1" s="1"/>
  <c r="N29" i="1"/>
  <c r="J29" i="1"/>
  <c r="L29" i="1" s="1"/>
  <c r="N28" i="1"/>
  <c r="L28" i="1"/>
  <c r="J28" i="1"/>
  <c r="N27" i="1"/>
  <c r="J27" i="1"/>
  <c r="L27" i="1" s="1"/>
  <c r="N26" i="1"/>
  <c r="J26" i="1"/>
  <c r="L26" i="1" s="1"/>
  <c r="N25" i="1"/>
  <c r="J25" i="1"/>
  <c r="L25" i="1" s="1"/>
  <c r="N24" i="1"/>
  <c r="J24" i="1"/>
  <c r="L24" i="1" s="1"/>
  <c r="N23" i="1"/>
  <c r="L23" i="1"/>
  <c r="J23" i="1"/>
  <c r="N22" i="1"/>
  <c r="J22" i="1"/>
  <c r="L22" i="1" s="1"/>
  <c r="N21" i="1"/>
  <c r="J21" i="1"/>
  <c r="L21" i="1" s="1"/>
  <c r="N20" i="1"/>
  <c r="J20" i="1"/>
  <c r="L20" i="1" s="1"/>
  <c r="N19" i="1"/>
  <c r="J19" i="1"/>
  <c r="L19" i="1" s="1"/>
  <c r="N18" i="1"/>
  <c r="J18" i="1"/>
  <c r="L18" i="1" s="1"/>
  <c r="N17" i="1"/>
  <c r="L17" i="1"/>
  <c r="J17" i="1"/>
  <c r="N16" i="1"/>
  <c r="L16" i="1"/>
  <c r="J15" i="2" s="1"/>
  <c r="J16" i="1"/>
  <c r="N15" i="1"/>
  <c r="J15" i="1"/>
  <c r="L15" i="1" s="1"/>
  <c r="N14" i="1"/>
  <c r="J14" i="1"/>
  <c r="L14" i="1" s="1"/>
  <c r="N13" i="1"/>
  <c r="J13" i="1"/>
  <c r="L13" i="1" s="1"/>
  <c r="N12" i="1"/>
  <c r="J12" i="1"/>
  <c r="L12" i="1" s="1"/>
  <c r="N11" i="1"/>
  <c r="J11" i="1"/>
  <c r="L11" i="1" s="1"/>
  <c r="N10" i="1"/>
  <c r="J10" i="1"/>
  <c r="L10" i="1" s="1"/>
  <c r="N9" i="1"/>
  <c r="J9" i="1"/>
  <c r="L9" i="1" s="1"/>
  <c r="N8" i="1"/>
  <c r="J8" i="1"/>
  <c r="L8" i="1" s="1"/>
  <c r="N7" i="1"/>
  <c r="J7" i="1"/>
  <c r="L7" i="1" s="1"/>
  <c r="N6" i="1"/>
  <c r="J6" i="1"/>
  <c r="L6" i="1" s="1"/>
  <c r="N5" i="1"/>
  <c r="J5" i="1"/>
  <c r="L5" i="1" s="1"/>
  <c r="J14" i="2" s="1"/>
  <c r="N4" i="1"/>
  <c r="J4" i="1"/>
  <c r="L4" i="1" s="1"/>
  <c r="N3" i="1"/>
  <c r="L3" i="1"/>
  <c r="J13" i="2" s="1"/>
  <c r="J3" i="1"/>
  <c r="N2" i="1"/>
  <c r="E13" i="2" s="1"/>
  <c r="J2" i="1"/>
  <c r="L2" i="1" s="1"/>
  <c r="D13" i="2" s="1"/>
  <c r="O499" i="1" l="1"/>
  <c r="A239" i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O486" i="1"/>
  <c r="O489" i="1"/>
  <c r="O510" i="1"/>
  <c r="O481" i="1"/>
  <c r="O487" i="1"/>
  <c r="O490" i="1"/>
  <c r="O503" i="1"/>
  <c r="O507" i="1"/>
  <c r="O511" i="1"/>
  <c r="O485" i="1"/>
  <c r="O492" i="1"/>
  <c r="O479" i="1"/>
  <c r="O482" i="1"/>
  <c r="O493" i="1"/>
  <c r="O497" i="1"/>
  <c r="O501" i="1"/>
  <c r="O505" i="1"/>
  <c r="O509" i="1"/>
  <c r="O480" i="1"/>
  <c r="O483" i="1"/>
  <c r="O500" i="1"/>
  <c r="O504" i="1"/>
  <c r="O508" i="1"/>
  <c r="O494" i="1"/>
  <c r="O488" i="1"/>
  <c r="O502" i="1"/>
  <c r="O506" i="1"/>
  <c r="O484" i="1"/>
  <c r="O496" i="1"/>
  <c r="O491" i="1"/>
  <c r="O498" i="1"/>
  <c r="O495" i="1"/>
  <c r="O173" i="1"/>
  <c r="O177" i="1"/>
  <c r="O181" i="1"/>
  <c r="O220" i="1"/>
  <c r="O435" i="1"/>
  <c r="O437" i="1"/>
  <c r="O440" i="1"/>
  <c r="O460" i="1"/>
  <c r="O476" i="1"/>
  <c r="F16" i="2"/>
  <c r="G16" i="2" s="1"/>
  <c r="F18" i="2"/>
  <c r="G18" i="2" s="1"/>
  <c r="O23" i="1"/>
  <c r="O27" i="1"/>
  <c r="O34" i="1"/>
  <c r="O73" i="1"/>
  <c r="O455" i="1"/>
  <c r="O459" i="1"/>
  <c r="O474" i="1"/>
  <c r="O478" i="1"/>
  <c r="F23" i="2"/>
  <c r="G23" i="2" s="1"/>
  <c r="O166" i="1"/>
  <c r="O264" i="1"/>
  <c r="O394" i="1"/>
  <c r="O404" i="1"/>
  <c r="O408" i="1"/>
  <c r="O441" i="1"/>
  <c r="O448" i="1"/>
  <c r="O256" i="1"/>
  <c r="O323" i="1"/>
  <c r="O387" i="1"/>
  <c r="O452" i="1"/>
  <c r="O146" i="1"/>
  <c r="O175" i="1"/>
  <c r="O241" i="1"/>
  <c r="O339" i="1"/>
  <c r="O346" i="1"/>
  <c r="O208" i="1"/>
  <c r="O458" i="1"/>
  <c r="O3" i="1"/>
  <c r="O130" i="1"/>
  <c r="O161" i="1"/>
  <c r="O172" i="1"/>
  <c r="O219" i="1"/>
  <c r="O223" i="1"/>
  <c r="O231" i="1"/>
  <c r="O246" i="1"/>
  <c r="O253" i="1"/>
  <c r="O374" i="1"/>
  <c r="O65" i="1"/>
  <c r="O68" i="1"/>
  <c r="O324" i="1"/>
  <c r="O328" i="1"/>
  <c r="O427" i="1"/>
  <c r="O456" i="1"/>
  <c r="O244" i="1"/>
  <c r="O255" i="1"/>
  <c r="O388" i="1"/>
  <c r="O235" i="1"/>
  <c r="O69" i="1"/>
  <c r="O82" i="1"/>
  <c r="O92" i="1"/>
  <c r="O99" i="1"/>
  <c r="O102" i="1"/>
  <c r="O249" i="1"/>
  <c r="O280" i="1"/>
  <c r="O284" i="1"/>
  <c r="O287" i="1"/>
  <c r="O317" i="1"/>
  <c r="O384" i="1"/>
  <c r="O391" i="1"/>
  <c r="O6" i="1"/>
  <c r="O10" i="1"/>
  <c r="O14" i="1"/>
  <c r="O17" i="1"/>
  <c r="O36" i="1"/>
  <c r="O43" i="1"/>
  <c r="O60" i="1"/>
  <c r="O75" i="1"/>
  <c r="O83" i="1"/>
  <c r="O86" i="1"/>
  <c r="O121" i="1"/>
  <c r="O142" i="1"/>
  <c r="O212" i="1"/>
  <c r="O216" i="1"/>
  <c r="O266" i="1"/>
  <c r="O270" i="1"/>
  <c r="O281" i="1"/>
  <c r="O292" i="1"/>
  <c r="O337" i="1"/>
  <c r="O366" i="1"/>
  <c r="O26" i="1"/>
  <c r="O33" i="1"/>
  <c r="O100" i="1"/>
  <c r="O107" i="1"/>
  <c r="O114" i="1"/>
  <c r="O201" i="1"/>
  <c r="O254" i="1"/>
  <c r="O258" i="1"/>
  <c r="O326" i="1"/>
  <c r="O348" i="1"/>
  <c r="O359" i="1"/>
  <c r="O363" i="1"/>
  <c r="O370" i="1"/>
  <c r="O389" i="1"/>
  <c r="O406" i="1"/>
  <c r="O76" i="1"/>
  <c r="O80" i="1"/>
  <c r="O90" i="1"/>
  <c r="O194" i="1"/>
  <c r="O209" i="1"/>
  <c r="O278" i="1"/>
  <c r="O319" i="1"/>
  <c r="O334" i="1"/>
  <c r="O338" i="1"/>
  <c r="O382" i="1"/>
  <c r="O386" i="1"/>
  <c r="O393" i="1"/>
  <c r="F22" i="2"/>
  <c r="G22" i="2" s="1"/>
  <c r="F24" i="2"/>
  <c r="G24" i="2" s="1"/>
  <c r="O115" i="1"/>
  <c r="O150" i="1"/>
  <c r="O157" i="1"/>
  <c r="O279" i="1"/>
  <c r="O283" i="1"/>
  <c r="O290" i="1"/>
  <c r="O331" i="1"/>
  <c r="O342" i="1"/>
  <c r="O375" i="1"/>
  <c r="O396" i="1"/>
  <c r="O414" i="1"/>
  <c r="O422" i="1"/>
  <c r="O444" i="1"/>
  <c r="O462" i="1"/>
  <c r="O110" i="1"/>
  <c r="O151" i="1"/>
  <c r="O184" i="1"/>
  <c r="O199" i="1"/>
  <c r="O252" i="1"/>
  <c r="O267" i="1"/>
  <c r="O277" i="1"/>
  <c r="O306" i="1"/>
  <c r="O316" i="1"/>
  <c r="O345" i="1"/>
  <c r="O360" i="1"/>
  <c r="O398" i="1"/>
  <c r="O423" i="1"/>
  <c r="O430" i="1"/>
  <c r="O469" i="1"/>
  <c r="O19" i="1"/>
  <c r="O67" i="1"/>
  <c r="O94" i="1"/>
  <c r="O152" i="1"/>
  <c r="O189" i="1"/>
  <c r="O200" i="1"/>
  <c r="O420" i="1"/>
  <c r="O424" i="1"/>
  <c r="O16" i="1"/>
  <c r="O38" i="1"/>
  <c r="O45" i="1"/>
  <c r="O49" i="1"/>
  <c r="O53" i="1"/>
  <c r="O55" i="1"/>
  <c r="O108" i="1"/>
  <c r="O118" i="1"/>
  <c r="O128" i="1"/>
  <c r="O174" i="1"/>
  <c r="O193" i="1"/>
  <c r="O222" i="1"/>
  <c r="O243" i="1"/>
  <c r="O275" i="1"/>
  <c r="O282" i="1"/>
  <c r="O336" i="1"/>
  <c r="O354" i="1"/>
  <c r="O436" i="1"/>
  <c r="O453" i="1"/>
  <c r="O475" i="1"/>
  <c r="O71" i="1"/>
  <c r="O91" i="1"/>
  <c r="O132" i="1"/>
  <c r="O149" i="1"/>
  <c r="O153" i="1"/>
  <c r="O178" i="1"/>
  <c r="O190" i="1"/>
  <c r="O204" i="1"/>
  <c r="O215" i="1"/>
  <c r="O230" i="1"/>
  <c r="O240" i="1"/>
  <c r="O250" i="1"/>
  <c r="O261" i="1"/>
  <c r="O265" i="1"/>
  <c r="O269" i="1"/>
  <c r="O272" i="1"/>
  <c r="O293" i="1"/>
  <c r="O308" i="1"/>
  <c r="O325" i="1"/>
  <c r="O340" i="1"/>
  <c r="O347" i="1"/>
  <c r="O358" i="1"/>
  <c r="O390" i="1"/>
  <c r="O403" i="1"/>
  <c r="O407" i="1"/>
  <c r="O464" i="1"/>
  <c r="O468" i="1"/>
  <c r="O191" i="1"/>
  <c r="O309" i="1"/>
  <c r="O400" i="1"/>
  <c r="O18" i="1"/>
  <c r="O37" i="1"/>
  <c r="O40" i="1"/>
  <c r="O61" i="1"/>
  <c r="O127" i="1"/>
  <c r="O155" i="1"/>
  <c r="O158" i="1"/>
  <c r="O165" i="1"/>
  <c r="O271" i="1"/>
  <c r="O312" i="1"/>
  <c r="O315" i="1"/>
  <c r="O318" i="1"/>
  <c r="O327" i="1"/>
  <c r="O350" i="1"/>
  <c r="O426" i="1"/>
  <c r="O465" i="1"/>
  <c r="C25" i="2"/>
  <c r="O28" i="1"/>
  <c r="O35" i="1"/>
  <c r="O96" i="1"/>
  <c r="O104" i="1"/>
  <c r="O144" i="1"/>
  <c r="O147" i="1"/>
  <c r="O159" i="1"/>
  <c r="O268" i="1"/>
  <c r="O296" i="1"/>
  <c r="O371" i="1"/>
  <c r="O428" i="1"/>
  <c r="O434" i="1"/>
  <c r="O438" i="1"/>
  <c r="O457" i="1"/>
  <c r="O4" i="1"/>
  <c r="O8" i="1"/>
  <c r="O12" i="1"/>
  <c r="O30" i="1"/>
  <c r="O47" i="1"/>
  <c r="O51" i="1"/>
  <c r="O57" i="1"/>
  <c r="O78" i="1"/>
  <c r="O84" i="1"/>
  <c r="O134" i="1"/>
  <c r="O140" i="1"/>
  <c r="O143" i="1"/>
  <c r="O163" i="1"/>
  <c r="O169" i="1"/>
  <c r="O187" i="1"/>
  <c r="O196" i="1"/>
  <c r="O234" i="1"/>
  <c r="O237" i="1"/>
  <c r="O299" i="1"/>
  <c r="O303" i="1"/>
  <c r="O320" i="1"/>
  <c r="O368" i="1"/>
  <c r="O377" i="1"/>
  <c r="O411" i="1"/>
  <c r="O417" i="1"/>
  <c r="O471" i="1"/>
  <c r="O5" i="1"/>
  <c r="K14" i="2" s="1"/>
  <c r="O9" i="1"/>
  <c r="O13" i="1"/>
  <c r="O31" i="1"/>
  <c r="O44" i="1"/>
  <c r="O48" i="1"/>
  <c r="O52" i="1"/>
  <c r="O54" i="1"/>
  <c r="O66" i="1"/>
  <c r="O72" i="1"/>
  <c r="O79" i="1"/>
  <c r="O122" i="1"/>
  <c r="O126" i="1"/>
  <c r="O141" i="1"/>
  <c r="O164" i="1"/>
  <c r="O188" i="1"/>
  <c r="O207" i="1"/>
  <c r="O221" i="1"/>
  <c r="O229" i="1"/>
  <c r="O273" i="1"/>
  <c r="O276" i="1"/>
  <c r="O285" i="1"/>
  <c r="O291" i="1"/>
  <c r="O307" i="1"/>
  <c r="O369" i="1"/>
  <c r="O392" i="1"/>
  <c r="O395" i="1"/>
  <c r="O412" i="1"/>
  <c r="O446" i="1"/>
  <c r="O454" i="1"/>
  <c r="O463" i="1"/>
  <c r="O20" i="1"/>
  <c r="O24" i="1"/>
  <c r="O41" i="1"/>
  <c r="O58" i="1"/>
  <c r="O62" i="1"/>
  <c r="O63" i="1"/>
  <c r="O88" i="1"/>
  <c r="O97" i="1"/>
  <c r="O105" i="1"/>
  <c r="O116" i="1"/>
  <c r="O119" i="1"/>
  <c r="O135" i="1"/>
  <c r="O138" i="1"/>
  <c r="O167" i="1"/>
  <c r="O179" i="1"/>
  <c r="O182" i="1"/>
  <c r="O185" i="1"/>
  <c r="O197" i="1"/>
  <c r="O202" i="1"/>
  <c r="O205" i="1"/>
  <c r="O210" i="1"/>
  <c r="O213" i="1"/>
  <c r="O227" i="1"/>
  <c r="O232" i="1"/>
  <c r="O247" i="1"/>
  <c r="O259" i="1"/>
  <c r="O262" i="1"/>
  <c r="O288" i="1"/>
  <c r="O294" i="1"/>
  <c r="O297" i="1"/>
  <c r="O300" i="1"/>
  <c r="O304" i="1"/>
  <c r="O310" i="1"/>
  <c r="O313" i="1"/>
  <c r="O321" i="1"/>
  <c r="O329" i="1"/>
  <c r="O332" i="1"/>
  <c r="O343" i="1"/>
  <c r="O352" i="1"/>
  <c r="O355" i="1"/>
  <c r="O361" i="1"/>
  <c r="O372" i="1"/>
  <c r="O378" i="1"/>
  <c r="O401" i="1"/>
  <c r="O418" i="1"/>
  <c r="O421" i="1"/>
  <c r="O432" i="1"/>
  <c r="O449" i="1"/>
  <c r="O466" i="1"/>
  <c r="O472" i="1"/>
  <c r="O473" i="1"/>
  <c r="B25" i="2"/>
  <c r="O21" i="1"/>
  <c r="O22" i="1"/>
  <c r="O25" i="1"/>
  <c r="O32" i="1"/>
  <c r="O42" i="1"/>
  <c r="O59" i="1"/>
  <c r="O64" i="1"/>
  <c r="O70" i="1"/>
  <c r="O103" i="1"/>
  <c r="O120" i="1"/>
  <c r="O123" i="1"/>
  <c r="O124" i="1"/>
  <c r="O133" i="1"/>
  <c r="O171" i="1"/>
  <c r="O180" i="1"/>
  <c r="O203" i="1"/>
  <c r="O211" i="1"/>
  <c r="O225" i="1"/>
  <c r="O233" i="1"/>
  <c r="O274" i="1"/>
  <c r="O286" i="1"/>
  <c r="O289" i="1"/>
  <c r="O301" i="1"/>
  <c r="O305" i="1"/>
  <c r="O344" i="1"/>
  <c r="O353" i="1"/>
  <c r="O364" i="1"/>
  <c r="O410" i="1"/>
  <c r="O461" i="1"/>
  <c r="O467" i="1"/>
  <c r="O7" i="1"/>
  <c r="K15" i="2" s="1"/>
  <c r="O11" i="1"/>
  <c r="O15" i="1"/>
  <c r="O29" i="1"/>
  <c r="O39" i="1"/>
  <c r="O46" i="1"/>
  <c r="O50" i="1"/>
  <c r="O56" i="1"/>
  <c r="O74" i="1"/>
  <c r="O77" i="1"/>
  <c r="O81" i="1"/>
  <c r="O89" i="1"/>
  <c r="O98" i="1"/>
  <c r="O106" i="1"/>
  <c r="O112" i="1"/>
  <c r="O131" i="1"/>
  <c r="O136" i="1"/>
  <c r="O148" i="1"/>
  <c r="O162" i="1"/>
  <c r="O183" i="1"/>
  <c r="O186" i="1"/>
  <c r="O192" i="1"/>
  <c r="O195" i="1"/>
  <c r="O198" i="1"/>
  <c r="O206" i="1"/>
  <c r="O214" i="1"/>
  <c r="O217" i="1"/>
  <c r="O228" i="1"/>
  <c r="O239" i="1"/>
  <c r="O245" i="1"/>
  <c r="O248" i="1"/>
  <c r="O251" i="1"/>
  <c r="O257" i="1"/>
  <c r="O260" i="1"/>
  <c r="O263" i="1"/>
  <c r="O295" i="1"/>
  <c r="O298" i="1"/>
  <c r="O302" i="1"/>
  <c r="O311" i="1"/>
  <c r="O314" i="1"/>
  <c r="O322" i="1"/>
  <c r="O330" i="1"/>
  <c r="O362" i="1"/>
  <c r="O376" i="1"/>
  <c r="O379" i="1"/>
  <c r="O385" i="1"/>
  <c r="O402" i="1"/>
  <c r="O416" i="1"/>
  <c r="O419" i="1"/>
  <c r="O439" i="1"/>
  <c r="O442" i="1"/>
  <c r="O470" i="1"/>
  <c r="O477" i="1"/>
  <c r="F17" i="2"/>
  <c r="G17" i="2" s="1"/>
  <c r="F21" i="2"/>
  <c r="G21" i="2" s="1"/>
  <c r="F20" i="2"/>
  <c r="G20" i="2" s="1"/>
  <c r="O2" i="1"/>
  <c r="K13" i="2" s="1"/>
  <c r="O85" i="1"/>
  <c r="O101" i="1"/>
  <c r="O117" i="1"/>
  <c r="O129" i="1"/>
  <c r="O145" i="1"/>
  <c r="O160" i="1"/>
  <c r="O176" i="1"/>
  <c r="O238" i="1"/>
  <c r="O113" i="1"/>
  <c r="O156" i="1"/>
  <c r="O218" i="1"/>
  <c r="O95" i="1"/>
  <c r="O111" i="1"/>
  <c r="O125" i="1"/>
  <c r="O139" i="1"/>
  <c r="O154" i="1"/>
  <c r="O170" i="1"/>
  <c r="O236" i="1"/>
  <c r="O93" i="1"/>
  <c r="O109" i="1"/>
  <c r="O137" i="1"/>
  <c r="O168" i="1"/>
  <c r="O224" i="1"/>
  <c r="O357" i="1"/>
  <c r="O87" i="1"/>
  <c r="O341" i="1"/>
  <c r="O226" i="1"/>
  <c r="O242" i="1"/>
  <c r="O373" i="1"/>
  <c r="O356" i="1"/>
  <c r="O405" i="1"/>
  <c r="O450" i="1"/>
  <c r="O380" i="1"/>
  <c r="O451" i="1"/>
  <c r="J4" i="2"/>
  <c r="B5" i="2" s="1"/>
  <c r="F19" i="2"/>
  <c r="G19" i="2" s="1"/>
  <c r="J5" i="2"/>
  <c r="O433" i="1"/>
  <c r="O447" i="1"/>
  <c r="O335" i="1"/>
  <c r="O351" i="1"/>
  <c r="O367" i="1"/>
  <c r="O383" i="1"/>
  <c r="O399" i="1"/>
  <c r="O415" i="1"/>
  <c r="O431" i="1"/>
  <c r="O445" i="1"/>
  <c r="O333" i="1"/>
  <c r="O349" i="1"/>
  <c r="O365" i="1"/>
  <c r="O381" i="1"/>
  <c r="O397" i="1"/>
  <c r="O413" i="1"/>
  <c r="O429" i="1"/>
  <c r="O443" i="1"/>
  <c r="F14" i="2"/>
  <c r="G14" i="2" s="1"/>
  <c r="O409" i="1"/>
  <c r="O425" i="1"/>
  <c r="A427" i="1" l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F13" i="2"/>
  <c r="G13" i="2" s="1"/>
  <c r="E25" i="2"/>
  <c r="J6" i="2"/>
  <c r="D25" i="2"/>
  <c r="F15" i="2"/>
  <c r="G15" i="2" s="1"/>
  <c r="J8" i="2"/>
  <c r="J7" i="2" l="1"/>
  <c r="F25" i="2"/>
  <c r="G25" i="2" s="1"/>
  <c r="J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Synthetic sample pricing in USD for demo/reporting use. No external source.</t>
        </r>
      </text>
    </comment>
    <comment ref="M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Synthetic unit cost assumptions for demo/reporting use. No external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All values in this workbook are synthetic but designed to look realistic for demo/reporting use.</t>
        </r>
      </text>
    </comment>
  </commentList>
</comments>
</file>

<file path=xl/sharedStrings.xml><?xml version="1.0" encoding="utf-8"?>
<sst xmlns="http://schemas.openxmlformats.org/spreadsheetml/2006/main" count="3120" uniqueCount="988">
  <si>
    <t>Order ID</t>
  </si>
  <si>
    <t>Date</t>
  </si>
  <si>
    <t>Month</t>
  </si>
  <si>
    <t>Channel</t>
  </si>
  <si>
    <t>Customer</t>
  </si>
  <si>
    <t>Product</t>
  </si>
  <si>
    <t>Units</t>
  </si>
  <si>
    <t>Unit Price (USD)</t>
  </si>
  <si>
    <t>Gross Sales (USD)</t>
  </si>
  <si>
    <t>Discount %</t>
  </si>
  <si>
    <t>Net Sales (USD)</t>
  </si>
  <si>
    <t>Unit Cost (USD)</t>
  </si>
  <si>
    <t>COGS (USD)</t>
  </si>
  <si>
    <t>Gross Profit (USD)</t>
  </si>
  <si>
    <t>Status</t>
  </si>
  <si>
    <t>Mar</t>
  </si>
  <si>
    <t>Online</t>
  </si>
  <si>
    <t>Brenda Alves</t>
  </si>
  <si>
    <t>E-book</t>
  </si>
  <si>
    <t>Completed</t>
  </si>
  <si>
    <t>Allison Hill</t>
  </si>
  <si>
    <t>Hardcover</t>
  </si>
  <si>
    <t>Returned</t>
  </si>
  <si>
    <t>William Jennings</t>
  </si>
  <si>
    <t>Shop</t>
  </si>
  <si>
    <t>Noah Rhodes</t>
  </si>
  <si>
    <t>Angie Henderson</t>
  </si>
  <si>
    <t>Collector Edition</t>
  </si>
  <si>
    <t>Delivery</t>
  </si>
  <si>
    <t>Daniel Wagner</t>
  </si>
  <si>
    <t>Lesley Wilson-Newman</t>
  </si>
  <si>
    <t>Albano Llopis Hierro</t>
  </si>
  <si>
    <t>Paperback</t>
  </si>
  <si>
    <t>Abdul Hopkins</t>
  </si>
  <si>
    <t>Cristian Santos</t>
  </si>
  <si>
    <t>Buenaventura de Bonet</t>
  </si>
  <si>
    <t>Ileana Antón-Andrés</t>
  </si>
  <si>
    <t>Mrs Lauren Green</t>
  </si>
  <si>
    <t>César Guerrero Vazquez</t>
  </si>
  <si>
    <t>Connie Lawrence</t>
  </si>
  <si>
    <t>Cauã Rocha</t>
  </si>
  <si>
    <t>Abigail Shaffer</t>
  </si>
  <si>
    <t>Dra. Aurora Pastor</t>
  </si>
  <si>
    <t>Audiobook</t>
  </si>
  <si>
    <t>Paco Rocamora Nieto</t>
  </si>
  <si>
    <t>Casemiro Garrido-Navarro</t>
  </si>
  <si>
    <t>Tina Foster</t>
  </si>
  <si>
    <t>Nigel Edwards</t>
  </si>
  <si>
    <t>Abdul Burton-Patterson</t>
  </si>
  <si>
    <t>Arturo Pinto Caballero</t>
  </si>
  <si>
    <t>Gabrielle Davis</t>
  </si>
  <si>
    <t>Sarah Reed-Walsh</t>
  </si>
  <si>
    <t>Ana Beatriz Alves</t>
  </si>
  <si>
    <t>Henrique da Conceição</t>
  </si>
  <si>
    <t>Miss Olivia Bryan</t>
  </si>
  <si>
    <t>Soraya Núñez Lamas</t>
  </si>
  <si>
    <t>Pánfilo Segovia Casanovas</t>
  </si>
  <si>
    <t>Dr Lee Green</t>
  </si>
  <si>
    <t>Ryan Munoz</t>
  </si>
  <si>
    <t>Monica Herrera</t>
  </si>
  <si>
    <t>Eleanor Baker</t>
  </si>
  <si>
    <t>Amanda Novais</t>
  </si>
  <si>
    <t>Jamie Arnold</t>
  </si>
  <si>
    <t>Yago Leão</t>
  </si>
  <si>
    <t>Lisa Hensley</t>
  </si>
  <si>
    <t>Michele Williams</t>
  </si>
  <si>
    <t>Pietro Pastor</t>
  </si>
  <si>
    <t>Wayne Gough</t>
  </si>
  <si>
    <t>Bernard Wilkinson-Simpson</t>
  </si>
  <si>
    <t>Celia Baños-Arroyo</t>
  </si>
  <si>
    <t>André Teixeira</t>
  </si>
  <si>
    <t>Otávio Fernandes</t>
  </si>
  <si>
    <t>Eduardo Cunha</t>
  </si>
  <si>
    <t>Mrs Julia Harris</t>
  </si>
  <si>
    <t>Rolando del Bernal</t>
  </si>
  <si>
    <t>Luiz Henrique Ferreira</t>
  </si>
  <si>
    <t>Dylan Miller</t>
  </si>
  <si>
    <t>Ms Lindsey Rees</t>
  </si>
  <si>
    <t>Toribio de Pinto</t>
  </si>
  <si>
    <t>Geoffrey Griffin</t>
  </si>
  <si>
    <t>Megan Taylor</t>
  </si>
  <si>
    <t>Julia Aparecida</t>
  </si>
  <si>
    <t>Sra. Zoe Campos</t>
  </si>
  <si>
    <t>Miss Carole Woods</t>
  </si>
  <si>
    <t>Ms Sheila Evans</t>
  </si>
  <si>
    <t>Holly Wood</t>
  </si>
  <si>
    <t>Felicidad Gallego Lasa</t>
  </si>
  <si>
    <t>Aaron Harrison</t>
  </si>
  <si>
    <t>Anna Liz Novaes</t>
  </si>
  <si>
    <t>Brandon Hammond</t>
  </si>
  <si>
    <t>Jerónimo Pino Lerma</t>
  </si>
  <si>
    <t>Luiz Miguel Oliveira</t>
  </si>
  <si>
    <t>Constanza del Barba</t>
  </si>
  <si>
    <t>Derek Zuniga</t>
  </si>
  <si>
    <t>Bernardo Aparecida</t>
  </si>
  <si>
    <t>Heloísa Vargas</t>
  </si>
  <si>
    <t>Lisa Jackson</t>
  </si>
  <si>
    <t>Graham Wilkinson</t>
  </si>
  <si>
    <t>Bruno da Conceição</t>
  </si>
  <si>
    <t>Carla Gray</t>
  </si>
  <si>
    <t>Segismundo de Moles</t>
  </si>
  <si>
    <t>Mateus da Mota</t>
  </si>
  <si>
    <t>Amanda Hall</t>
  </si>
  <si>
    <t>Edelmira Batalla Galván</t>
  </si>
  <si>
    <t>Valentina Miranda-Garcia</t>
  </si>
  <si>
    <t>Frances Holmes-Lloyd</t>
  </si>
  <si>
    <t>Patty Perez</t>
  </si>
  <si>
    <t>Mrs Pauline Fuller</t>
  </si>
  <si>
    <t>Ethan Adams</t>
  </si>
  <si>
    <t>Ruth Hawkins</t>
  </si>
  <si>
    <t>Ms Jill Morley</t>
  </si>
  <si>
    <t>Bernard Wilkins</t>
  </si>
  <si>
    <t>Tommy Walter</t>
  </si>
  <si>
    <t>Catherine Morris</t>
  </si>
  <si>
    <t>Gertrudis Segarra Clavero</t>
  </si>
  <si>
    <t>Buenaventura Huerta-Jódar</t>
  </si>
  <si>
    <t>Dr. Gustavo Henrique Rios</t>
  </si>
  <si>
    <t>Matthew Foster</t>
  </si>
  <si>
    <t>Brayan Pereira</t>
  </si>
  <si>
    <t>Inés Pujol-Paredes</t>
  </si>
  <si>
    <t>Eloá Nascimento</t>
  </si>
  <si>
    <t>Júlia Porto</t>
  </si>
  <si>
    <t>Dra. Hellena Rodrigues</t>
  </si>
  <si>
    <t>Sr. Ian Andrade</t>
  </si>
  <si>
    <t>Wayne Morris</t>
  </si>
  <si>
    <t>Dr. João Felipe Azevedo</t>
  </si>
  <si>
    <t>Judy Baker</t>
  </si>
  <si>
    <t>Dr Paula Lloyd</t>
  </si>
  <si>
    <t>Kathryn Hughes</t>
  </si>
  <si>
    <t>Bruno del Bou</t>
  </si>
  <si>
    <t>Mr William Gould</t>
  </si>
  <si>
    <t>Bethan Oliver</t>
  </si>
  <si>
    <t>Justin Baker</t>
  </si>
  <si>
    <t>Stephanie Ross</t>
  </si>
  <si>
    <t>Tito Canals Coronado</t>
  </si>
  <si>
    <t>Lorraine Palmer</t>
  </si>
  <si>
    <t>Zachary Hicks</t>
  </si>
  <si>
    <t>Anthony Rodriguez</t>
  </si>
  <si>
    <t>Levi Cunha</t>
  </si>
  <si>
    <t>Ruy Roca Bartolomé</t>
  </si>
  <si>
    <t>Christopher Davies</t>
  </si>
  <si>
    <t>Natália Casa Grande</t>
  </si>
  <si>
    <t>Davi Miguel da Cruz</t>
  </si>
  <si>
    <t>Rebecca Henderson</t>
  </si>
  <si>
    <t>Bethan Young</t>
  </si>
  <si>
    <t>Dra. Zoe da Luz</t>
  </si>
  <si>
    <t>Pili del Nieto</t>
  </si>
  <si>
    <t>Eugenio Royo Cruz</t>
  </si>
  <si>
    <t>Dr Danny Cook</t>
  </si>
  <si>
    <t>James Ferrell</t>
  </si>
  <si>
    <t>Tricia Valencia</t>
  </si>
  <si>
    <t>Abril Lago Valle</t>
  </si>
  <si>
    <t>Nathan Maldonado</t>
  </si>
  <si>
    <t>Thomas Monteiro</t>
  </si>
  <si>
    <t>Wayne Page-Carter</t>
  </si>
  <si>
    <t>Alexander Taylor</t>
  </si>
  <si>
    <t>Frances Buckley-Ryan</t>
  </si>
  <si>
    <t>Glauco Cuéllar Abascal</t>
  </si>
  <si>
    <t>Ms Kayleigh Watson</t>
  </si>
  <si>
    <t>Etelvina Laura Aliaga Caparrós</t>
  </si>
  <si>
    <t>David Anderson</t>
  </si>
  <si>
    <t>Debra Davidson</t>
  </si>
  <si>
    <t>John Griffiths</t>
  </si>
  <si>
    <t>Jeffrey Chavez</t>
  </si>
  <si>
    <t>Simon Cunningham</t>
  </si>
  <si>
    <t>Emanuel Vieira</t>
  </si>
  <si>
    <t>Valeria Meléndez Heras</t>
  </si>
  <si>
    <t>Sherri Baker</t>
  </si>
  <si>
    <t>Cassandra Gaines</t>
  </si>
  <si>
    <t>Dionisio Bermúdez Boada</t>
  </si>
  <si>
    <t>Joshua Stewart</t>
  </si>
  <si>
    <t>Sabina Bayón Casas</t>
  </si>
  <si>
    <t>Philip Clarke</t>
  </si>
  <si>
    <t>Narciso Talavera Dalmau</t>
  </si>
  <si>
    <t>Henry O'Brien</t>
  </si>
  <si>
    <t>Elizabeth Fowler</t>
  </si>
  <si>
    <t>Matheus Garcia</t>
  </si>
  <si>
    <t>Leon Davison</t>
  </si>
  <si>
    <t>Juan Luis Rocha-Galán</t>
  </si>
  <si>
    <t>Priscila de Mesa</t>
  </si>
  <si>
    <t>Nazaret Perea Ríos</t>
  </si>
  <si>
    <t>Nina Moura</t>
  </si>
  <si>
    <t>Brittany Farmer</t>
  </si>
  <si>
    <t>Jennifer Carrillo</t>
  </si>
  <si>
    <t>Daniel de Neira</t>
  </si>
  <si>
    <t>Macario Grau Giménez</t>
  </si>
  <si>
    <t>Andrés Felipe Barral Granados</t>
  </si>
  <si>
    <t>Víctor Angulo Murillo</t>
  </si>
  <si>
    <t>Kayleigh Mitchell</t>
  </si>
  <si>
    <t>José Ángel Gárate Lopez</t>
  </si>
  <si>
    <t>Oliver Edwards-Matthews</t>
  </si>
  <si>
    <t>Clotilde Catalán Suárez</t>
  </si>
  <si>
    <t>Yuri Albuquerque</t>
  </si>
  <si>
    <t>Paula Moreno</t>
  </si>
  <si>
    <t>Ruben del Ramírez</t>
  </si>
  <si>
    <t>Bruna Rodrigues</t>
  </si>
  <si>
    <t>Asdrubal Caballero</t>
  </si>
  <si>
    <t>Felicidad Roda Reig</t>
  </si>
  <si>
    <t>Teresa Balaguer Cabello</t>
  </si>
  <si>
    <t>Heriberto Nicolau Canales</t>
  </si>
  <si>
    <t>Fred Smith</t>
  </si>
  <si>
    <t>Sherry Decker</t>
  </si>
  <si>
    <t>Juliana Vargas</t>
  </si>
  <si>
    <t>Anthony Humphrey</t>
  </si>
  <si>
    <t>Clemente de Sanabria</t>
  </si>
  <si>
    <t>Héctor Español Lopez</t>
  </si>
  <si>
    <t>Pedro Henrique Castro</t>
  </si>
  <si>
    <t>Agatha Silveira</t>
  </si>
  <si>
    <t>Victor Patel</t>
  </si>
  <si>
    <t>Angelica Tucker</t>
  </si>
  <si>
    <t>Sra. Sarah Teixeira</t>
  </si>
  <si>
    <t>Thiago Caldeira</t>
  </si>
  <si>
    <t>Diana Benet Salazar</t>
  </si>
  <si>
    <t>Eric O'Neill</t>
  </si>
  <si>
    <t>Charlotte Haynes</t>
  </si>
  <si>
    <t>Letícia Porto</t>
  </si>
  <si>
    <t>Fernanda Cassiano</t>
  </si>
  <si>
    <t>Sarah Hammond</t>
  </si>
  <si>
    <t>Robert Wilson</t>
  </si>
  <si>
    <t>Philip Cannon</t>
  </si>
  <si>
    <t>Ariel de Alcolea</t>
  </si>
  <si>
    <t>Sr. Vitor Hugo Vasconcelos</t>
  </si>
  <si>
    <t>Olivia King</t>
  </si>
  <si>
    <t>John Pierce</t>
  </si>
  <si>
    <t>Kayleigh Daniels</t>
  </si>
  <si>
    <t>Shane Henderson</t>
  </si>
  <si>
    <t>Gerard Jones</t>
  </si>
  <si>
    <t>Agatha Peixoto</t>
  </si>
  <si>
    <t>Dr Dennis Bates</t>
  </si>
  <si>
    <t>Joshua Blair</t>
  </si>
  <si>
    <t>Lydia Williams</t>
  </si>
  <si>
    <t>Eric Carney</t>
  </si>
  <si>
    <t>Renato Guzmán Delgado</t>
  </si>
  <si>
    <t>Julieta Teruel García</t>
  </si>
  <si>
    <t>Dr Joan Taylor</t>
  </si>
  <si>
    <t>Dr. Isaque Araújo</t>
  </si>
  <si>
    <t>Jessica Holmes</t>
  </si>
  <si>
    <t>Bruno Barros</t>
  </si>
  <si>
    <t>Sra. Ana Lívia Teixeira</t>
  </si>
  <si>
    <t>Danny Morgan</t>
  </si>
  <si>
    <t>Hazel Lambert</t>
  </si>
  <si>
    <t>Yaiza Barral Cózar</t>
  </si>
  <si>
    <t>Abril Portero Lara</t>
  </si>
  <si>
    <t>Adam Long</t>
  </si>
  <si>
    <t>Leslie Roberts-Griffiths</t>
  </si>
  <si>
    <t>Crystal Robinson</t>
  </si>
  <si>
    <t>Carolina Cardoso</t>
  </si>
  <si>
    <t>Barbara Wilkinson</t>
  </si>
  <si>
    <t>Olívia Novaes</t>
  </si>
  <si>
    <t>João Moura</t>
  </si>
  <si>
    <t>Eloísa Rocha Torrecilla</t>
  </si>
  <si>
    <t>Luis Miguel Barrera Mir</t>
  </si>
  <si>
    <t>Amador Tapia Valverde</t>
  </si>
  <si>
    <t>Shannon Jones</t>
  </si>
  <si>
    <t>Michael Lewis</t>
  </si>
  <si>
    <t>Camila Barberá</t>
  </si>
  <si>
    <t>Timothy Duncan</t>
  </si>
  <si>
    <t>Kirsty Akhtar</t>
  </si>
  <si>
    <t>Gabriela Silva</t>
  </si>
  <si>
    <t>Anita Estevez</t>
  </si>
  <si>
    <t>Manuel Bayo Gutierrez</t>
  </si>
  <si>
    <t>Harry Gardiner</t>
  </si>
  <si>
    <t>Melissa Mann</t>
  </si>
  <si>
    <t>Murilo Rios</t>
  </si>
  <si>
    <t>Mr Peter Riley</t>
  </si>
  <si>
    <t>Thomas Morgan</t>
  </si>
  <si>
    <t>Milena Campos</t>
  </si>
  <si>
    <t>John Daniel</t>
  </si>
  <si>
    <t>Azeneth Hoz Ariño</t>
  </si>
  <si>
    <t>Victoria Garcia</t>
  </si>
  <si>
    <t>Gerald Hensley</t>
  </si>
  <si>
    <t>Henry Gabriel Azevedo</t>
  </si>
  <si>
    <t>Mr Jake Stevenson</t>
  </si>
  <si>
    <t>Miss Carole Hussain</t>
  </si>
  <si>
    <t>Connor West</t>
  </si>
  <si>
    <t>Cristian Miralles-Gómez</t>
  </si>
  <si>
    <t>Ricky Adams-Jones</t>
  </si>
  <si>
    <t>Donald Wright</t>
  </si>
  <si>
    <t>Jessica Callahan</t>
  </si>
  <si>
    <t>Stephanie Lloyd</t>
  </si>
  <si>
    <t>Amber Kidd</t>
  </si>
  <si>
    <t>Tracy House</t>
  </si>
  <si>
    <t>Estela Belmonte Agustí</t>
  </si>
  <si>
    <t>Leah Newman</t>
  </si>
  <si>
    <t>Sr. Yuri da Conceição</t>
  </si>
  <si>
    <t>Sally George</t>
  </si>
  <si>
    <t>Hellena Abreu</t>
  </si>
  <si>
    <t>Bento da Conceição</t>
  </si>
  <si>
    <t>Shane Kerr</t>
  </si>
  <si>
    <t>Carol Tucker</t>
  </si>
  <si>
    <t>Arthur Gabriel Farias</t>
  </si>
  <si>
    <t>James Brown</t>
  </si>
  <si>
    <t>William Baker</t>
  </si>
  <si>
    <t>Mr Matthew Hunt</t>
  </si>
  <si>
    <t>Jordan Henderson</t>
  </si>
  <si>
    <t>Whitney Peters</t>
  </si>
  <si>
    <t>Brittney Phillips</t>
  </si>
  <si>
    <t>Lucy Rees</t>
  </si>
  <si>
    <t>Lauren Daniels</t>
  </si>
  <si>
    <t>Amy Silva</t>
  </si>
  <si>
    <t>Clotilde del Cazorla</t>
  </si>
  <si>
    <t>Théo da Costa</t>
  </si>
  <si>
    <t>Sarah Moore</t>
  </si>
  <si>
    <t>Hazel Taylor</t>
  </si>
  <si>
    <t>Ofelia del Ángel</t>
  </si>
  <si>
    <t>Angela Lopez</t>
  </si>
  <si>
    <t>Ryan Cunha</t>
  </si>
  <si>
    <t>Mrs Ruth Smith</t>
  </si>
  <si>
    <t>Megan Young</t>
  </si>
  <si>
    <t>Caroline Silveira</t>
  </si>
  <si>
    <t>Eligio Carlos Campo</t>
  </si>
  <si>
    <t>Michael Bibi</t>
  </si>
  <si>
    <t>Steve Sanchez</t>
  </si>
  <si>
    <t>Charles Smith-Byrne</t>
  </si>
  <si>
    <t>Calixta del Luján</t>
  </si>
  <si>
    <t>Brandon Hodgson</t>
  </si>
  <si>
    <t>Mrs Rebecca Hale</t>
  </si>
  <si>
    <t>Adam Ford</t>
  </si>
  <si>
    <t>Olívia da Cruz</t>
  </si>
  <si>
    <t>Tina Pritchard</t>
  </si>
  <si>
    <t>Lisa Barnes</t>
  </si>
  <si>
    <t>Kelly Donovan</t>
  </si>
  <si>
    <t>Clementina Paca Novoa Frutos</t>
  </si>
  <si>
    <t>José Antonio Torres-Iglesias</t>
  </si>
  <si>
    <t>Mike Allen</t>
  </si>
  <si>
    <t>Arturo Roda Lloret</t>
  </si>
  <si>
    <t>Abel Múgica Castrillo</t>
  </si>
  <si>
    <t>Mrs Lesley Charlton</t>
  </si>
  <si>
    <t>Calebe Ribeiro</t>
  </si>
  <si>
    <t>Cecilio Sala-Roma</t>
  </si>
  <si>
    <t>Adelia de Benet</t>
  </si>
  <si>
    <t>Beverley Lee</t>
  </si>
  <si>
    <t>Leandro Araujo Peiró</t>
  </si>
  <si>
    <t>Derek Talbot-Scott</t>
  </si>
  <si>
    <t>Michael Evans</t>
  </si>
  <si>
    <t>Mamen Colomer-Ropero</t>
  </si>
  <si>
    <t>Arthur Bailey</t>
  </si>
  <si>
    <t>Nina Siqueira</t>
  </si>
  <si>
    <t>Alfonso Mendez Pastor</t>
  </si>
  <si>
    <t>Vinicio Pallarès Gallo</t>
  </si>
  <si>
    <t>Dr Mohamed Webb</t>
  </si>
  <si>
    <t>Nazario de Otero</t>
  </si>
  <si>
    <t>Paul Jones</t>
  </si>
  <si>
    <t>Holly Clark</t>
  </si>
  <si>
    <t>Carlos Eduardo Araújo</t>
  </si>
  <si>
    <t>Julia Bryan</t>
  </si>
  <si>
    <t>Sylvia Kelly-Ward</t>
  </si>
  <si>
    <t>Elliott Davis</t>
  </si>
  <si>
    <t>Verónica del Cortes</t>
  </si>
  <si>
    <t>Maitê Caldeira</t>
  </si>
  <si>
    <t>Gael Correia</t>
  </si>
  <si>
    <t>Zachary Ferrell</t>
  </si>
  <si>
    <t>Melissa Carvalho</t>
  </si>
  <si>
    <t>Duncan Smith</t>
  </si>
  <si>
    <t>Mr Jordan Thomson</t>
  </si>
  <si>
    <t>Daniel Baker</t>
  </si>
  <si>
    <t>Dr Daniel Harper</t>
  </si>
  <si>
    <t>Shirley Suarez</t>
  </si>
  <si>
    <t>Mr Stanley Robinson</t>
  </si>
  <si>
    <t>Christopher Bass</t>
  </si>
  <si>
    <t>Toni de Elorza</t>
  </si>
  <si>
    <t>Lisa Archer</t>
  </si>
  <si>
    <t>Aitana Escobar Márquez</t>
  </si>
  <si>
    <t>Rosario Hurtado Lasa</t>
  </si>
  <si>
    <t>Aimee Montoya</t>
  </si>
  <si>
    <t>Emilly da Mota</t>
  </si>
  <si>
    <t>Melissa Fisher</t>
  </si>
  <si>
    <t>Mrs Victoria Tucker</t>
  </si>
  <si>
    <t>Rufino Campoy Piñeiro</t>
  </si>
  <si>
    <t>Timoteo Sosa Girón</t>
  </si>
  <si>
    <t>Matthew Mcmillan</t>
  </si>
  <si>
    <t>Sebastian Seguí</t>
  </si>
  <si>
    <t>Isadora Barbosa</t>
  </si>
  <si>
    <t>Keith Kaur-Lee</t>
  </si>
  <si>
    <t>Brian Rodriguez</t>
  </si>
  <si>
    <t>Encarnación Goñi Gisbert</t>
  </si>
  <si>
    <t>Beatriz Aragão</t>
  </si>
  <si>
    <t>Narciso Ferrando Pujadas</t>
  </si>
  <si>
    <t>Eligia Baños Lorenzo</t>
  </si>
  <si>
    <t>Denise Jacobs</t>
  </si>
  <si>
    <t>Christina Walters</t>
  </si>
  <si>
    <t>Ágatha Albuquerque</t>
  </si>
  <si>
    <t>Miguela Vergara Pulido</t>
  </si>
  <si>
    <t>John Whitehead</t>
  </si>
  <si>
    <t>Anna Henderson</t>
  </si>
  <si>
    <t>Aaron Wise</t>
  </si>
  <si>
    <t>Nicola Brookes</t>
  </si>
  <si>
    <t>Deborah Figueroa</t>
  </si>
  <si>
    <t>Jessica Smith</t>
  </si>
  <si>
    <t>Stephen Mckee</t>
  </si>
  <si>
    <t>Eusebia de Carlos</t>
  </si>
  <si>
    <t>Chuy Lara-Arenas</t>
  </si>
  <si>
    <t>Mr Antony Kelly</t>
  </si>
  <si>
    <t>Sandra Aguilar</t>
  </si>
  <si>
    <t>Cameron Parker</t>
  </si>
  <si>
    <t>Charlene Webb</t>
  </si>
  <si>
    <t>Isaac Cavalcante</t>
  </si>
  <si>
    <t>Dr Dylan Morris</t>
  </si>
  <si>
    <t>Amanda Simpson</t>
  </si>
  <si>
    <t>Isa Vidal Carlos</t>
  </si>
  <si>
    <t>Raquel Mendes</t>
  </si>
  <si>
    <t>Rebecca Valencia</t>
  </si>
  <si>
    <t>Ximena Falcón Iñiguez</t>
  </si>
  <si>
    <t>Paulino Rubio Abellán</t>
  </si>
  <si>
    <t>Christine Wright</t>
  </si>
  <si>
    <t>Mr Russell Jennings</t>
  </si>
  <si>
    <t>Mohammed Gill-Ali</t>
  </si>
  <si>
    <t>Ángela Figueras</t>
  </si>
  <si>
    <t>Irene Becerra Murillo</t>
  </si>
  <si>
    <t>Richard Henson</t>
  </si>
  <si>
    <t>Murilo Araújo</t>
  </si>
  <si>
    <t>Estefanía Narcisa Casanovas Mas</t>
  </si>
  <si>
    <t>Mateus Abreu</t>
  </si>
  <si>
    <t>Harry Phillips</t>
  </si>
  <si>
    <t>Julia Viana</t>
  </si>
  <si>
    <t>Esmeralda Real</t>
  </si>
  <si>
    <t>Humberto Pinilla</t>
  </si>
  <si>
    <t>Sharon Cherry</t>
  </si>
  <si>
    <t>Sierra Johnson</t>
  </si>
  <si>
    <t>Laura Lima</t>
  </si>
  <si>
    <t>Mr Karl Carr</t>
  </si>
  <si>
    <t>Dr Jamie Ryan</t>
  </si>
  <si>
    <t>Evelyn Galvan</t>
  </si>
  <si>
    <t>Sharon Cochran</t>
  </si>
  <si>
    <t>Richard Rodriguez</t>
  </si>
  <si>
    <t>Shannon Walker</t>
  </si>
  <si>
    <t>Clive Rogers</t>
  </si>
  <si>
    <t>Serafina de Mateu</t>
  </si>
  <si>
    <t>Garrett Lin</t>
  </si>
  <si>
    <t>Cruz Ildefonso Montserrat Sola</t>
  </si>
  <si>
    <t>Dra. Raquel Cassiano</t>
  </si>
  <si>
    <t>Isaura García Vicente</t>
  </si>
  <si>
    <t>Mr Nathan Brown</t>
  </si>
  <si>
    <t>Diana May</t>
  </si>
  <si>
    <t>Juan Cunha</t>
  </si>
  <si>
    <t>Rosalina Doménech Blazquez</t>
  </si>
  <si>
    <t>Vitor Hugo Araújo</t>
  </si>
  <si>
    <t>Sra. Ana Laura Aragão</t>
  </si>
  <si>
    <t>William Herrera</t>
  </si>
  <si>
    <t>Suzanne Mills</t>
  </si>
  <si>
    <t>José Ángel Natanael Naranjo Bueno</t>
  </si>
  <si>
    <t>Pietra Montenegro</t>
  </si>
  <si>
    <t>Ashley Waller</t>
  </si>
  <si>
    <t>Mr Bradley Parsons</t>
  </si>
  <si>
    <t>Nicodemo del Gomila</t>
  </si>
  <si>
    <t>Dr Stephen Clark</t>
  </si>
  <si>
    <t>Louise Jackson-Robinson</t>
  </si>
  <si>
    <t>Victor Baker</t>
  </si>
  <si>
    <t>Michelle Anderson</t>
  </si>
  <si>
    <t>Candelario Amat</t>
  </si>
  <si>
    <t>Kevin Cooper</t>
  </si>
  <si>
    <t>Neil Smith</t>
  </si>
  <si>
    <t>Jeffrey Chandler</t>
  </si>
  <si>
    <t>Charlie Winter-Bennett</t>
  </si>
  <si>
    <t>Eduarda Araújo</t>
  </si>
  <si>
    <t>Donato Talavera Beltran</t>
  </si>
  <si>
    <t>Anna Liz Cirino</t>
  </si>
  <si>
    <t>Herminia Ferreras Plana</t>
  </si>
  <si>
    <t>Bernardo Rocha</t>
  </si>
  <si>
    <t>Larry Dixon</t>
  </si>
  <si>
    <t>Kenneth Scott</t>
  </si>
  <si>
    <t>Nathan Campos</t>
  </si>
  <si>
    <t>Albert Chapman-Williams</t>
  </si>
  <si>
    <t>Michelle Harmon</t>
  </si>
  <si>
    <t>Helen Jones</t>
  </si>
  <si>
    <t>Roger Johnson</t>
  </si>
  <si>
    <t>Erin Edwards</t>
  </si>
  <si>
    <t>Gloria Hervás Coloma</t>
  </si>
  <si>
    <t>Business Sales Report</t>
  </si>
  <si>
    <t>Report Settings</t>
  </si>
  <si>
    <t>Key KPIs</t>
  </si>
  <si>
    <t>Currency</t>
  </si>
  <si>
    <t>USD</t>
  </si>
  <si>
    <t>Total Orders</t>
  </si>
  <si>
    <t>Rows</t>
  </si>
  <si>
    <t>Total Units</t>
  </si>
  <si>
    <t>Period</t>
  </si>
  <si>
    <t>Total Net Sales (USD)</t>
  </si>
  <si>
    <t>Coverage</t>
  </si>
  <si>
    <t>Total Gross Profit (USD)</t>
  </si>
  <si>
    <t>Generated on</t>
  </si>
  <si>
    <t>Average Order Value (USD)</t>
  </si>
  <si>
    <t>Gross Margin %</t>
  </si>
  <si>
    <t>Monthly Performance</t>
  </si>
  <si>
    <t>Sales by Channel</t>
  </si>
  <si>
    <t>Orders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</si>
  <si>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</si>
  <si>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</si>
  <si>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</si>
  <si>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</si>
  <si>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</si>
  <si>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</si>
  <si>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</si>
  <si>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</si>
  <si>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</si>
  <si>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</si>
  <si>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</si>
  <si>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</si>
  <si>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Maple Avenue 21</t>
  </si>
  <si>
    <t>Maple Avenue 235</t>
  </si>
  <si>
    <t>Harbor Road 110</t>
  </si>
  <si>
    <t>Lake View Road 111</t>
  </si>
  <si>
    <t>River Street 164</t>
  </si>
  <si>
    <t>Green Lane 15</t>
  </si>
  <si>
    <t>Victoria Road 77</t>
  </si>
  <si>
    <t>King Street 149</t>
  </si>
  <si>
    <t>King Street 151</t>
  </si>
  <si>
    <t>Lake View Road 185</t>
  </si>
  <si>
    <t>Garden Street 55</t>
  </si>
  <si>
    <t>Park Avenue 122</t>
  </si>
  <si>
    <t>River Street 206</t>
  </si>
  <si>
    <t>Station Road 79</t>
  </si>
  <si>
    <t>Cedar Street 158</t>
  </si>
  <si>
    <t>Harbor Road 45</t>
  </si>
  <si>
    <t>Harbor Road 13</t>
  </si>
  <si>
    <t>Park Avenue 90</t>
  </si>
  <si>
    <t>Station Road 207</t>
  </si>
  <si>
    <t>Hillcrest Road 124</t>
  </si>
  <si>
    <t>Garden Street 32</t>
  </si>
  <si>
    <t>Cedar Street 36</t>
  </si>
  <si>
    <t>Grand Avenue 23</t>
  </si>
  <si>
    <t>Lake View Road 74</t>
  </si>
  <si>
    <t>Hillcrest Road 183</t>
  </si>
  <si>
    <t>River Street 41</t>
  </si>
  <si>
    <t>River Street 171</t>
  </si>
  <si>
    <t>Station Road 49</t>
  </si>
  <si>
    <t>Victoria Road 110</t>
  </si>
  <si>
    <t>Park Avenue 246</t>
  </si>
  <si>
    <t>Maple Avenue 119</t>
  </si>
  <si>
    <t>Green Lane 29</t>
  </si>
  <si>
    <t>Sunset Boulevard 20</t>
  </si>
  <si>
    <t>King Street 90</t>
  </si>
  <si>
    <t>Station Road 41</t>
  </si>
  <si>
    <t>Central Street 21</t>
  </si>
  <si>
    <t>Victoria Road 165</t>
  </si>
  <si>
    <t>Elm Street 125</t>
  </si>
  <si>
    <t>Victoria Road 29</t>
  </si>
  <si>
    <t>Liberty Avenue 135</t>
  </si>
  <si>
    <t>Oak Lane 181</t>
  </si>
  <si>
    <t>Liberty Avenue 94</t>
  </si>
  <si>
    <t>Church Street 87</t>
  </si>
  <si>
    <t>River Street 212</t>
  </si>
  <si>
    <t>Church Street 129</t>
  </si>
  <si>
    <t>Hillcrest Road 123</t>
  </si>
  <si>
    <t>River Street 29</t>
  </si>
  <si>
    <t>Park Avenue 55</t>
  </si>
  <si>
    <t>Central Street 125</t>
  </si>
  <si>
    <t>Elm Street 105</t>
  </si>
  <si>
    <t>Victoria Road 10</t>
  </si>
  <si>
    <t>Victoria Road 159</t>
  </si>
  <si>
    <t>Lake View Road 143</t>
  </si>
  <si>
    <t>King Street 137</t>
  </si>
  <si>
    <t>Sunset Boulevard 10</t>
  </si>
  <si>
    <t>Church Street 64</t>
  </si>
  <si>
    <t>Harbor Road 216</t>
  </si>
  <si>
    <t>Elm Street 172</t>
  </si>
  <si>
    <t>Grand Avenue 161</t>
  </si>
  <si>
    <t>Park Avenue 177</t>
  </si>
  <si>
    <t>Maple Avenue 66</t>
  </si>
  <si>
    <t>King Street 132</t>
  </si>
  <si>
    <t>Oak Lane 116</t>
  </si>
  <si>
    <t>Garden Street 134</t>
  </si>
  <si>
    <t>Church Street 139</t>
  </si>
  <si>
    <t>Church Street 227</t>
  </si>
  <si>
    <t>Elm Street 38</t>
  </si>
  <si>
    <t>Elm Street 83</t>
  </si>
  <si>
    <t>Oak Lane 57</t>
  </si>
  <si>
    <t>River Street 194</t>
  </si>
  <si>
    <t>Liberty Avenue 173</t>
  </si>
  <si>
    <t>Church Street 106</t>
  </si>
  <si>
    <t>Park Avenue 144</t>
  </si>
  <si>
    <t>Green Lane 87</t>
  </si>
  <si>
    <t>King Street 238</t>
  </si>
  <si>
    <t>Hillcrest Road 72</t>
  </si>
  <si>
    <t>Victoria Road 212</t>
  </si>
  <si>
    <t>Victoria Road 140</t>
  </si>
  <si>
    <t>Hillcrest Road 17</t>
  </si>
  <si>
    <t>Hillcrest Road 243</t>
  </si>
  <si>
    <t>Oak Lane 158</t>
  </si>
  <si>
    <t>King Street 119</t>
  </si>
  <si>
    <t>Harbor Road 240</t>
  </si>
  <si>
    <t>Maple Avenue 137</t>
  </si>
  <si>
    <t>Hillcrest Road 15</t>
  </si>
  <si>
    <t>Cedar Street 138</t>
  </si>
  <si>
    <t>Church Street 175</t>
  </si>
  <si>
    <t>Central Street 67</t>
  </si>
  <si>
    <t>Church Street 144</t>
  </si>
  <si>
    <t>River Street 242</t>
  </si>
  <si>
    <t>Grand Avenue 142</t>
  </si>
  <si>
    <t>Sunset Boulevard 61</t>
  </si>
  <si>
    <t>Green Lane 91</t>
  </si>
  <si>
    <t>Oak Lane 163</t>
  </si>
  <si>
    <t>Maple Avenue 24</t>
  </si>
  <si>
    <t>Garden Street 65</t>
  </si>
  <si>
    <t>Liberty Avenue 43</t>
  </si>
  <si>
    <t>Hillcrest Road 96</t>
  </si>
  <si>
    <t>River Street 11</t>
  </si>
  <si>
    <t>Liberty Avenue 3</t>
  </si>
  <si>
    <t>Grand Avenue 74</t>
  </si>
  <si>
    <t>Central Street 26</t>
  </si>
  <si>
    <t>Green Lane 153</t>
  </si>
  <si>
    <t>Cedar Street 80</t>
  </si>
  <si>
    <t>Church Street 221</t>
  </si>
  <si>
    <t>Park Avenue 187</t>
  </si>
  <si>
    <t>Garden Street 167</t>
  </si>
  <si>
    <t>Harbor Road 190</t>
  </si>
  <si>
    <t>Station Road 216</t>
  </si>
  <si>
    <t>Oak Lane 10</t>
  </si>
  <si>
    <t>King Street 99</t>
  </si>
  <si>
    <t>Central Street 163</t>
  </si>
  <si>
    <t>Central Street 119</t>
  </si>
  <si>
    <t>Oak Lane 171</t>
  </si>
  <si>
    <t>Oak Lane 219</t>
  </si>
  <si>
    <t>River Street 192</t>
  </si>
  <si>
    <t>Oak Lane 125</t>
  </si>
  <si>
    <t>Maple Avenue 127</t>
  </si>
  <si>
    <t>Grand Avenue 77</t>
  </si>
  <si>
    <t>Elm Street 199</t>
  </si>
  <si>
    <t>Cedar Street 24</t>
  </si>
  <si>
    <t>Oak Lane 39</t>
  </si>
  <si>
    <t>Garden Street 212</t>
  </si>
  <si>
    <t>River Street 130</t>
  </si>
  <si>
    <t>Cedar Street 189</t>
  </si>
  <si>
    <t>Green Lane 83</t>
  </si>
  <si>
    <t>Park Avenue 195</t>
  </si>
  <si>
    <t>Sunset Boulevard 185</t>
  </si>
  <si>
    <t>Oak Lane 95</t>
  </si>
  <si>
    <t>Hillcrest Road 29</t>
  </si>
  <si>
    <t>River Street 71</t>
  </si>
  <si>
    <t>Sunset Boulevard 200</t>
  </si>
  <si>
    <t>Green Lane 236</t>
  </si>
  <si>
    <t>Harbor Road 118</t>
  </si>
  <si>
    <t>Maple Avenue 236</t>
  </si>
  <si>
    <t>Harbor Road 90</t>
  </si>
  <si>
    <t>Hillcrest Road 106</t>
  </si>
  <si>
    <t>Lake View Road 174</t>
  </si>
  <si>
    <t>Liberty Avenue 22</t>
  </si>
  <si>
    <t>Lake View Road 59</t>
  </si>
  <si>
    <t>Harbor Road 38</t>
  </si>
  <si>
    <t>Liberty Avenue 90</t>
  </si>
  <si>
    <t>Green Lane 108</t>
  </si>
  <si>
    <t>Station Road 95</t>
  </si>
  <si>
    <t>Sunset Boulevard 26</t>
  </si>
  <si>
    <t>Green Lane 168</t>
  </si>
  <si>
    <t>Central Street 35</t>
  </si>
  <si>
    <t>Station Road 128</t>
  </si>
  <si>
    <t>King Street 60</t>
  </si>
  <si>
    <t>King Street 244</t>
  </si>
  <si>
    <t>Maple Avenue 3</t>
  </si>
  <si>
    <t>Maple Avenue 168</t>
  </si>
  <si>
    <t>Church Street 165</t>
  </si>
  <si>
    <t>Oak Lane 79</t>
  </si>
  <si>
    <t>River Street 205</t>
  </si>
  <si>
    <t>Cedar Street 120</t>
  </si>
  <si>
    <t>Grand Avenue 137</t>
  </si>
  <si>
    <t>Central Street 248</t>
  </si>
  <si>
    <t>Central Street 52</t>
  </si>
  <si>
    <t>Hillcrest Road 61</t>
  </si>
  <si>
    <t>Grand Avenue 11</t>
  </si>
  <si>
    <t>Green Lane 53</t>
  </si>
  <si>
    <t>Oak Lane 55</t>
  </si>
  <si>
    <t>Sunset Boulevard 62</t>
  </si>
  <si>
    <t>Cedar Street 30</t>
  </si>
  <si>
    <t>River Street 127</t>
  </si>
  <si>
    <t>Victoria Road 239</t>
  </si>
  <si>
    <t>Central Street 155</t>
  </si>
  <si>
    <t>Maple Avenue 50</t>
  </si>
  <si>
    <t>King Street 23</t>
  </si>
  <si>
    <t>Liberty Avenue 170</t>
  </si>
  <si>
    <t>Green Lane 217</t>
  </si>
  <si>
    <t>Liberty Avenue 30</t>
  </si>
  <si>
    <t>Oak Lane 92</t>
  </si>
  <si>
    <t>Sunset Boulevard 100</t>
  </si>
  <si>
    <t>Oak Lane 15</t>
  </si>
  <si>
    <t>Lake View Road 238</t>
  </si>
  <si>
    <t>River Street 210</t>
  </si>
  <si>
    <t>Maple Avenue 121</t>
  </si>
  <si>
    <t>Sunset Boulevard 194</t>
  </si>
  <si>
    <t>Hillcrest Road 194</t>
  </si>
  <si>
    <t>Central Street 187</t>
  </si>
  <si>
    <t>King Street 124</t>
  </si>
  <si>
    <t>Harbor Road 211</t>
  </si>
  <si>
    <t>Liberty Avenue 5</t>
  </si>
  <si>
    <t>River Street 86</t>
  </si>
  <si>
    <t>Garden Street 23</t>
  </si>
  <si>
    <t>River Street 107</t>
  </si>
  <si>
    <t>Lake View Road 142</t>
  </si>
  <si>
    <t>King Street 21</t>
  </si>
  <si>
    <t>Sunset Boulevard 27</t>
  </si>
  <si>
    <t>Liberty Avenue 62</t>
  </si>
  <si>
    <t>Garden Street 231</t>
  </si>
  <si>
    <t>Cedar Street 78</t>
  </si>
  <si>
    <t>River Street 50</t>
  </si>
  <si>
    <t>Cedar Street 229</t>
  </si>
  <si>
    <t>Green Lane 67</t>
  </si>
  <si>
    <t>River Street 169</t>
  </si>
  <si>
    <t>King Street 4</t>
  </si>
  <si>
    <t>Maple Avenue 51</t>
  </si>
  <si>
    <t>Church Street 224</t>
  </si>
  <si>
    <t>Hillcrest Road 201</t>
  </si>
  <si>
    <t>Garden Street 92</t>
  </si>
  <si>
    <t>Park Avenue 39</t>
  </si>
  <si>
    <t>Maple Avenue 156</t>
  </si>
  <si>
    <t>Harbor Road 176</t>
  </si>
  <si>
    <t>Cedar Street 22</t>
  </si>
  <si>
    <t>Lake View Road 126</t>
  </si>
  <si>
    <t>Green Lane 172</t>
  </si>
  <si>
    <t>Liberty Avenue 104</t>
  </si>
  <si>
    <t>Cedar Street 109</t>
  </si>
  <si>
    <t>Sunset Boulevard 103</t>
  </si>
  <si>
    <t>Harbor Road 233</t>
  </si>
  <si>
    <t>Oak Lane 106</t>
  </si>
  <si>
    <t>Victoria Road 6</t>
  </si>
  <si>
    <t>Green Lane 25</t>
  </si>
  <si>
    <t>Victoria Road 92</t>
  </si>
  <si>
    <t>Liberty Avenue 239</t>
  </si>
  <si>
    <t>Grand Avenue 195</t>
  </si>
  <si>
    <t>Garden Street 240</t>
  </si>
  <si>
    <t>Liberty Avenue 166</t>
  </si>
  <si>
    <t>Garden Street 219</t>
  </si>
  <si>
    <t>Station Road 58</t>
  </si>
  <si>
    <t>Liberty Avenue 101</t>
  </si>
  <si>
    <t>River Street 188</t>
  </si>
  <si>
    <t>Maple Avenue 173</t>
  </si>
  <si>
    <t>Garden Street 119</t>
  </si>
  <si>
    <t>Station Road 66</t>
  </si>
  <si>
    <t>Elm Street 131</t>
  </si>
  <si>
    <t>Central Street 161</t>
  </si>
  <si>
    <t>Elm Street 198</t>
  </si>
  <si>
    <t>Green Lane 30</t>
  </si>
  <si>
    <t>Harbor Road 96</t>
  </si>
  <si>
    <t>Church Street 171</t>
  </si>
  <si>
    <t>Oak Lane 239</t>
  </si>
  <si>
    <t>Maple Avenue 195</t>
  </si>
  <si>
    <t>Oak Lane 160</t>
  </si>
  <si>
    <t>Grand Avenue 76</t>
  </si>
  <si>
    <t>Garden Street 73</t>
  </si>
  <si>
    <t>Church Street 249</t>
  </si>
  <si>
    <t>Hillcrest Road 160</t>
  </si>
  <si>
    <t>Maple Avenue 53</t>
  </si>
  <si>
    <t>Hillcrest Road 176</t>
  </si>
  <si>
    <t>Hillcrest Road 32</t>
  </si>
  <si>
    <t>Maple Avenue 78</t>
  </si>
  <si>
    <t>Park Avenue 190</t>
  </si>
  <si>
    <t>River Street 159</t>
  </si>
  <si>
    <t>Central Street 148</t>
  </si>
  <si>
    <t>Church Street 94</t>
  </si>
  <si>
    <t>Cedar Street 153</t>
  </si>
  <si>
    <t>Hillcrest Road 5</t>
  </si>
  <si>
    <t>Garden Street 168</t>
  </si>
  <si>
    <t>Grand Avenue 66</t>
  </si>
  <si>
    <t>Maple Avenue 139</t>
  </si>
  <si>
    <t>River Street 43</t>
  </si>
  <si>
    <t>Garden Street 144</t>
  </si>
  <si>
    <t>Sunset Boulevard 135</t>
  </si>
  <si>
    <t>Church Street 82</t>
  </si>
  <si>
    <t>Grand Avenue 186</t>
  </si>
  <si>
    <t>Elm Street 23</t>
  </si>
  <si>
    <t>King Street 69</t>
  </si>
  <si>
    <t>Park Avenue 231</t>
  </si>
  <si>
    <t>Lake View Road 176</t>
  </si>
  <si>
    <t>Cedar Street 167</t>
  </si>
  <si>
    <t>Central Street 46</t>
  </si>
  <si>
    <t>Liberty Avenue 194</t>
  </si>
  <si>
    <t>Park Avenue 156</t>
  </si>
  <si>
    <t>Grand Avenue 123</t>
  </si>
  <si>
    <t>River Street 149</t>
  </si>
  <si>
    <t>Garden Street 152</t>
  </si>
  <si>
    <t>Victoria Road 11</t>
  </si>
  <si>
    <t>Central Street 10</t>
  </si>
  <si>
    <t>Oak Lane 191</t>
  </si>
  <si>
    <t>River Street 55</t>
  </si>
  <si>
    <t>Maple Avenue 246</t>
  </si>
  <si>
    <t>King Street 36</t>
  </si>
  <si>
    <t>Park Avenue 89</t>
  </si>
  <si>
    <t>Park Avenue 199</t>
  </si>
  <si>
    <t>Maple Avenue 140</t>
  </si>
  <si>
    <t>Cedar Street 46</t>
  </si>
  <si>
    <t>Sunset Boulevard 76</t>
  </si>
  <si>
    <t>Grand Avenue 27</t>
  </si>
  <si>
    <t>Station Road 91</t>
  </si>
  <si>
    <t>Cedar Street 211</t>
  </si>
  <si>
    <t>Liberty Avenue 31</t>
  </si>
  <si>
    <t>King Street 163</t>
  </si>
  <si>
    <t>Green Lane 240</t>
  </si>
  <si>
    <t>Central Street 98</t>
  </si>
  <si>
    <t>Elm Street 35</t>
  </si>
  <si>
    <t>Park Avenue 136</t>
  </si>
  <si>
    <t>Park Avenue 46</t>
  </si>
  <si>
    <t>Station Road 62</t>
  </si>
  <si>
    <t>River Street 132</t>
  </si>
  <si>
    <t>Garden Street 42</t>
  </si>
  <si>
    <t>Garden Street 136</t>
  </si>
  <si>
    <t>Park Avenue 247</t>
  </si>
  <si>
    <t>Liberty Avenue 249</t>
  </si>
  <si>
    <t>Victoria Road 40</t>
  </si>
  <si>
    <t>Hillcrest Road 53</t>
  </si>
  <si>
    <t>Sunset Boulevard 229</t>
  </si>
  <si>
    <t>Central Street 105</t>
  </si>
  <si>
    <t>Cedar Street 121</t>
  </si>
  <si>
    <t>Garden Street 191</t>
  </si>
  <si>
    <t>Harbor Road 182</t>
  </si>
  <si>
    <t>River Street 176</t>
  </si>
  <si>
    <t>Harbor Road 83</t>
  </si>
  <si>
    <t>River Street 203</t>
  </si>
  <si>
    <t>Harbor Road 126</t>
  </si>
  <si>
    <t>Harbor Road 135</t>
  </si>
  <si>
    <t>Green Lane 215</t>
  </si>
  <si>
    <t>Hillcrest Road 142</t>
  </si>
  <si>
    <t>Church Street 92</t>
  </si>
  <si>
    <t>Lake View Road 55</t>
  </si>
  <si>
    <t>Sunset Boulevard 178</t>
  </si>
  <si>
    <t>King Street 189</t>
  </si>
  <si>
    <t>Hillcrest Road 100</t>
  </si>
  <si>
    <t>Oak Lane 110</t>
  </si>
  <si>
    <t>Hillcrest Road 30</t>
  </si>
  <si>
    <t>Church Street 59</t>
  </si>
  <si>
    <t>Liberty Avenue 36</t>
  </si>
  <si>
    <t>Lake View Road 187</t>
  </si>
  <si>
    <t>Harbor Road 122</t>
  </si>
  <si>
    <t>Grand Avenue 93</t>
  </si>
  <si>
    <t>Hillcrest Road 112</t>
  </si>
  <si>
    <t>Hillcrest Road 94</t>
  </si>
  <si>
    <t>Grand Avenue 127</t>
  </si>
  <si>
    <t>Oak Lane 214</t>
  </si>
  <si>
    <t>Oak Lane 170</t>
  </si>
  <si>
    <t>Elm Street 91</t>
  </si>
  <si>
    <t>Lake View Road 45</t>
  </si>
  <si>
    <t>Sunset Boulevard 129</t>
  </si>
  <si>
    <t>Elm Street 174</t>
  </si>
  <si>
    <t>Hillcrest Road 110</t>
  </si>
  <si>
    <t>Grand Avenue 145</t>
  </si>
  <si>
    <t>Victoria Road 182</t>
  </si>
  <si>
    <t>Liberty Avenue 141</t>
  </si>
  <si>
    <t>Elm Street 181</t>
  </si>
  <si>
    <t>Maple Avenue 177</t>
  </si>
  <si>
    <t>Harbor Road 163</t>
  </si>
  <si>
    <t>Sunset Boulevard 75</t>
  </si>
  <si>
    <t>Hillcrest Road 144</t>
  </si>
  <si>
    <t>Church Street 72</t>
  </si>
  <si>
    <t>King Street 87</t>
  </si>
  <si>
    <t>Victoria Road 153</t>
  </si>
  <si>
    <t>Lake View Road 229</t>
  </si>
  <si>
    <t>Maple Avenue 105</t>
  </si>
  <si>
    <t>Church Street 235</t>
  </si>
  <si>
    <t>Garden Street 227</t>
  </si>
  <si>
    <t>Elm Street 163</t>
  </si>
  <si>
    <t>Maple Avenue 110</t>
  </si>
  <si>
    <t>Victoria Road 204</t>
  </si>
  <si>
    <t>Cedar Street 50</t>
  </si>
  <si>
    <t>Central Street 113</t>
  </si>
  <si>
    <t>Church Street 13</t>
  </si>
  <si>
    <t>Green Lane 117</t>
  </si>
  <si>
    <t>Garden Street 154</t>
  </si>
  <si>
    <t>Lake View Road 29</t>
  </si>
  <si>
    <t>Victoria Road 163</t>
  </si>
  <si>
    <t>Central Street 178</t>
  </si>
  <si>
    <t>Station Road 65</t>
  </si>
  <si>
    <t>Lake View Road 184</t>
  </si>
  <si>
    <t>Maple Avenue 186</t>
  </si>
  <si>
    <t>Central Street 229</t>
  </si>
  <si>
    <t>Maple Avenue 83</t>
  </si>
  <si>
    <t>Grand Avenue 176</t>
  </si>
  <si>
    <t>Green Lane 202</t>
  </si>
  <si>
    <t>Park Avenue 77</t>
  </si>
  <si>
    <t>Garden Street 88</t>
  </si>
  <si>
    <t>Cedar Street 152</t>
  </si>
  <si>
    <t>Green Lane 178</t>
  </si>
  <si>
    <t>Elm Street 75</t>
  </si>
  <si>
    <t>Hillcrest Road 111</t>
  </si>
  <si>
    <t>Cedar Street 216</t>
  </si>
  <si>
    <t>Hillcrest Road 220</t>
  </si>
  <si>
    <t>Oak Lane 141</t>
  </si>
  <si>
    <t>River Street 82</t>
  </si>
  <si>
    <t>Sunset Boulevard 240</t>
  </si>
  <si>
    <t>Green Lane 120</t>
  </si>
  <si>
    <t>Oak Lane 62</t>
  </si>
  <si>
    <t>Hillcrest Road 229</t>
  </si>
  <si>
    <t>Station Road 54</t>
  </si>
  <si>
    <t>Oak Lane 49</t>
  </si>
  <si>
    <t>Station Road 94</t>
  </si>
  <si>
    <t>River Street 14</t>
  </si>
  <si>
    <t>Park Avenue 155</t>
  </si>
  <si>
    <t>Church Street 158</t>
  </si>
  <si>
    <t>Sunset Boulevard 225</t>
  </si>
  <si>
    <t>Sunset Boulevard 69</t>
  </si>
  <si>
    <t>Park Avenue 54</t>
  </si>
  <si>
    <t>Central Street 16</t>
  </si>
  <si>
    <t>Elm Street 127</t>
  </si>
  <si>
    <t>King Street 183</t>
  </si>
  <si>
    <t>Liberty Avenue 117</t>
  </si>
  <si>
    <t>River Street 47</t>
  </si>
  <si>
    <t>Victoria Road 84</t>
  </si>
  <si>
    <t>Station Road 154</t>
  </si>
  <si>
    <t>Park Avenue 98</t>
  </si>
  <si>
    <t>River Street 209</t>
  </si>
  <si>
    <t>Sunset Boulevard 207</t>
  </si>
  <si>
    <t>Oak Lane 242</t>
  </si>
  <si>
    <t>King Street 240</t>
  </si>
  <si>
    <t>Elm Street 89</t>
  </si>
  <si>
    <t>River Street 191</t>
  </si>
  <si>
    <t>Lake View Road 230</t>
  </si>
  <si>
    <t>Central Street 72</t>
  </si>
  <si>
    <t>Hillcrest Road 128</t>
  </si>
  <si>
    <t>Grand Avenue 32</t>
  </si>
  <si>
    <t>Sunset Boulevard 146</t>
  </si>
  <si>
    <t>Hillcrest Road 196</t>
  </si>
  <si>
    <t>Hillcrest Road 64</t>
  </si>
  <si>
    <t>Victoria Road 166</t>
  </si>
  <si>
    <t>Park Avenue 133</t>
  </si>
  <si>
    <t>Church Street 76</t>
  </si>
  <si>
    <t>River Street 185</t>
  </si>
  <si>
    <t>Oak Lane 215</t>
  </si>
  <si>
    <t>Hillcrest Road 47</t>
  </si>
  <si>
    <t>Sunset Boulevard 152</t>
  </si>
  <si>
    <t>Oak Lane 180</t>
  </si>
  <si>
    <t>Central Street 107</t>
  </si>
  <si>
    <t>Elm Street 135</t>
  </si>
  <si>
    <t>Maple Avenue 77</t>
  </si>
  <si>
    <t>Cedar Street 67</t>
  </si>
  <si>
    <t>Elm Street 136</t>
  </si>
  <si>
    <t>Hillcrest Road 34</t>
  </si>
  <si>
    <t>Church Street 197</t>
  </si>
  <si>
    <t>Sra. Isabelly CâJana</t>
  </si>
  <si>
    <t>Alba Jan Flor Rivas</t>
  </si>
  <si>
    <t>Janket Street 124</t>
  </si>
  <si>
    <t>Ani Jancos Pardo</t>
  </si>
  <si>
    <t>Janket Street 40</t>
  </si>
  <si>
    <t>Janket Street 117</t>
  </si>
  <si>
    <t>Janco Donoso Hierro</t>
  </si>
  <si>
    <t>Janket Street 39</t>
  </si>
  <si>
    <t>Janket Street 84</t>
  </si>
  <si>
    <t>Jangaret Hawkins DDS</t>
  </si>
  <si>
    <t>Jania Clara Castro</t>
  </si>
  <si>
    <t>Dr Janc Phillips</t>
  </si>
  <si>
    <t>Srta. Elisa Jantins</t>
  </si>
  <si>
    <t>Dra. Janiane Pacheco</t>
  </si>
  <si>
    <t>Jania Cecília CâJana</t>
  </si>
  <si>
    <t>Janket Street 19</t>
  </si>
  <si>
    <t>José Luis Camino Jantín</t>
  </si>
  <si>
    <t>Janía Fernanda Flor</t>
  </si>
  <si>
    <t>Janion Steele-Harper</t>
  </si>
  <si>
    <t>Benicio CaJango</t>
  </si>
  <si>
    <t>Janket Street 69</t>
  </si>
  <si>
    <t>Janiana Peixoto</t>
  </si>
  <si>
    <t>Janket Street 191</t>
  </si>
  <si>
    <t>Janket Street 72</t>
  </si>
  <si>
    <t>Manuela CaJango</t>
  </si>
  <si>
    <t>Janket Street 68</t>
  </si>
  <si>
    <t>Jantyn Wilson</t>
  </si>
  <si>
    <t>Janket Street 13</t>
  </si>
  <si>
    <t>Jania Bruce</t>
  </si>
  <si>
    <t>Dr. Antony CaJango</t>
  </si>
  <si>
    <t>Janket Street 109</t>
  </si>
  <si>
    <t>Claudio Jantin Gelabert</t>
  </si>
  <si>
    <t>Jank Perez</t>
  </si>
  <si>
    <t>Janiana Cunha</t>
  </si>
  <si>
    <t>Janket Street 159</t>
  </si>
  <si>
    <t>Janket Street 150</t>
  </si>
  <si>
    <t>Janket Street 232</t>
  </si>
  <si>
    <t>Hector Castro-Janín</t>
  </si>
  <si>
    <t>Janía Ángeles Cabo Beltrán</t>
  </si>
  <si>
    <t>Janket Street 54</t>
  </si>
  <si>
    <t>Nazario Janí Calleja</t>
  </si>
  <si>
    <t>Miss Danielle Jantin</t>
  </si>
  <si>
    <t>Jania Luísa Correia</t>
  </si>
  <si>
    <t>Janket Street 136</t>
  </si>
  <si>
    <t>Jania Lima</t>
  </si>
  <si>
    <t>Janket Street 42</t>
  </si>
  <si>
    <t>Janket Street 165</t>
  </si>
  <si>
    <t>Janket Street 112</t>
  </si>
  <si>
    <t>Janket Street 90</t>
  </si>
  <si>
    <t>Janket Street 214</t>
  </si>
  <si>
    <t>Jantyn Kennedy</t>
  </si>
  <si>
    <t>Janket Street 201</t>
  </si>
  <si>
    <t>Janc Rovira Ojeda</t>
  </si>
  <si>
    <t>Janket Street 247</t>
  </si>
  <si>
    <t>Janc Moore</t>
  </si>
  <si>
    <t>Janket Street 164</t>
  </si>
  <si>
    <t>Graciana Janqués Castejón</t>
  </si>
  <si>
    <t>Janio Mascaró Ramis</t>
  </si>
  <si>
    <t>Janket Street 126</t>
  </si>
  <si>
    <t>Janc Davies</t>
  </si>
  <si>
    <t>Miss Janion Butler</t>
  </si>
  <si>
    <t>Janket Street 88</t>
  </si>
  <si>
    <t>Janket Street 225</t>
  </si>
  <si>
    <t>1 Month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</si>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</sst>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\$#,##0.00;[Red]\(\$#,##0.00\);\-"/>
    <numFmt numFmtId="166" formatCode="0.0%"/>
    <numFmt numFmtId="167" formatCode="#,##0;[Red]\(#,##0\);\-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color rgb="FF008080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/>
    <xf numFmtId="165" fontId="5" fillId="0" borderId="0" xfId="0" applyNumberFormat="1" applyFont="1"/>
    <xf numFmtId="165" fontId="6" fillId="0" borderId="0" xfId="0" applyNumberFormat="1" applyFont="1"/>
    <xf numFmtId="166" fontId="5" fillId="0" borderId="0" xfId="0" applyNumberFormat="1" applyFont="1"/>
    <xf numFmtId="0" fontId="3" fillId="0" borderId="0" xfId="0" applyFont="1"/>
    <xf numFmtId="0" fontId="4" fillId="0" borderId="0" xfId="0" applyFont="1"/>
    <xf numFmtId="167" fontId="8" fillId="4" borderId="0" xfId="0" applyNumberFormat="1" applyFont="1" applyFill="1"/>
    <xf numFmtId="165" fontId="8" fillId="4" borderId="0" xfId="0" applyNumberFormat="1" applyFont="1" applyFill="1"/>
    <xf numFmtId="164" fontId="5" fillId="0" borderId="0" xfId="0" applyNumberFormat="1" applyFont="1"/>
    <xf numFmtId="166" fontId="8" fillId="4" borderId="0" xfId="0" applyNumberFormat="1" applyFont="1" applyFill="1"/>
    <xf numFmtId="0" fontId="3" fillId="3" borderId="0" xfId="0" applyFont="1" applyFill="1"/>
    <xf numFmtId="166" fontId="6" fillId="0" borderId="0" xfId="0" applyNumberFormat="1" applyFont="1"/>
    <xf numFmtId="165" fontId="0" fillId="0" borderId="0" xfId="0" applyNumberFormat="1"/>
    <xf numFmtId="0" fontId="3" fillId="0" borderId="1" xfId="0" applyFont="1" applyBorder="1"/>
    <xf numFmtId="167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7" fillId="0" borderId="0" xfId="0" applyFont="1" applyAlignment="1">
      <alignment horizontal="left"/>
    </xf>
    <xf numFmtId="0" fontId="2" fillId="2" borderId="0" xfId="0" applyFont="1" applyFill="1"/>
    <xf numFmtId="0" fontId="0" fillId="0" borderId="0" xfId="0"/>
    <xf numFmtId="0" fontId="1" fillId="2" borderId="0" xfId="0" applyFont="1" applyFill="1"/>
    <xf numFmtId="14" fontId="2" fillId="2" borderId="0" xfId="0" applyNumberFormat="1" applyFont="1" applyFill="1" applyAlignment="1">
      <alignment horizontal="center" vertical="center"/>
    </xf>
    <xf numFmtId="14" fontId="7" fillId="0" borderId="0" xfId="0" applyNumberFormat="1" applyFont="1"/>
    <xf numFmtId="14" fontId="0" fillId="0" borderId="0" xfId="0" applyNumberFormat="1"/>
    <xf numFmtId="167" fontId="5" fillId="0" borderId="0" xfId="0" applyNumberFormat="1" applyFont="1"/>
    <xf numFmtId="0" fontId="4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165" fontId="0" fillId="0" borderId="0" xfId="0" applyNumberFormat="1" applyFont="1"/>
    <xf numFmtId="167" fontId="0" fillId="0" borderId="0" xfId="0" applyNumberFormat="1" applyFont="1"/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8000"/>
      </font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Monthly Net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Summary!$D$12</c:f>
              <c:strCache>
                <c:ptCount val="1"/>
                <c:pt idx="0">
                  <c:v>Net Sales (USD)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Summary!$A$13:$A$24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Summary!$D$13:$D$24</c:f>
              <c:numCache>
                <c:formatCode>\$#,##0.00;[Red]\(\$#,##0.00\);\-</c:formatCode>
                <c:ptCount val="12"/>
                <c:pt idx="0">
                  <c:v>199543.73869999999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A-40A2-BB14-5224B1492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4362507571168991"/>
              <c:y val="0.73161764705882348"/>
            </c:manualLayout>
          </c:layout>
          <c:overlay val="1"/>
        </c:title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Gross Profit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Summary!$K$12</c:f>
              <c:strCache>
                <c:ptCount val="1"/>
                <c:pt idx="0">
                  <c:v>Gross Profit (USD)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Summary!$I$13:$I$17</c:f>
              <c:strCache>
                <c:ptCount val="3"/>
                <c:pt idx="0">
                  <c:v>Online</c:v>
                </c:pt>
                <c:pt idx="1">
                  <c:v>Shop</c:v>
                </c:pt>
                <c:pt idx="2">
                  <c:v>Delivery</c:v>
                </c:pt>
              </c:strCache>
            </c:strRef>
          </c:cat>
          <c:val>
            <c:numRef>
              <c:f>Summary!$K$13:$K$17</c:f>
              <c:numCache>
                <c:formatCode>\$#,##0.00;[Red]\(\$#,##0.00\);\-</c:formatCode>
                <c:ptCount val="5"/>
                <c:pt idx="0">
                  <c:v>26538.574100000005</c:v>
                </c:pt>
                <c:pt idx="1">
                  <c:v>15463.691899999993</c:v>
                </c:pt>
                <c:pt idx="2">
                  <c:v>58239.972699999991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2-40E1-9E09-99D522EBD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4974905400199456"/>
          <c:y val="0.29401760747209055"/>
          <c:w val="0.21982253283075562"/>
          <c:h val="0.4106020296509257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26</xdr:row>
      <xdr:rowOff>7620</xdr:rowOff>
    </xdr:from>
    <xdr:to>
      <xdr:col>11</xdr:col>
      <xdr:colOff>0</xdr:colOff>
      <xdr:row>43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26</xdr:row>
      <xdr:rowOff>30480</xdr:rowOff>
    </xdr:from>
    <xdr:to>
      <xdr:col>4</xdr:col>
      <xdr:colOff>914400</xdr:colOff>
      <xdr:row>41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P511">
  <autoFilter ref="A1:P511" xr:uid="{00000000-0009-0000-0100-000001000000}"/>
  <tableColumns count="16">
    <tableColumn id="1" xr3:uid="{00000000-0010-0000-0000-000001000000}" name="Order ID"/>
    <tableColumn id="2" xr3:uid="{00000000-0010-0000-0000-000002000000}" name="Date" dataDxfId="0"/>
    <tableColumn id="3" xr3:uid="{00000000-0010-0000-0000-000003000000}" name="Month"/>
    <tableColumn id="4" xr3:uid="{00000000-0010-0000-0000-000004000000}" name="Channel"/>
    <tableColumn id="5" xr3:uid="{00000000-0010-0000-0000-000005000000}" name="Address"/>
    <tableColumn id="6" xr3:uid="{00000000-0010-0000-0000-000006000000}" name="Customer"/>
    <tableColumn id="7" xr3:uid="{00000000-0010-0000-0000-000007000000}" name="Product"/>
    <tableColumn id="8" xr3:uid="{00000000-0010-0000-0000-000008000000}" name="Units"/>
    <tableColumn id="9" xr3:uid="{00000000-0010-0000-0000-000009000000}" name="Unit Price (USD)"/>
    <tableColumn id="10" xr3:uid="{00000000-0010-0000-0000-00000A000000}" name="Gross Sales (USD)"/>
    <tableColumn id="11" xr3:uid="{00000000-0010-0000-0000-00000B000000}" name="Discount %"/>
    <tableColumn id="12" xr3:uid="{00000000-0010-0000-0000-00000C000000}" name="Net Sales (USD)"/>
    <tableColumn id="13" xr3:uid="{00000000-0010-0000-0000-00000D000000}" name="Unit Cost (USD)"/>
    <tableColumn id="14" xr3:uid="{00000000-0010-0000-0000-00000E000000}" name="COGS (USD)"/>
    <tableColumn id="15" xr3:uid="{00000000-0010-0000-0000-00000F000000}" name="Gross Profit (USD)"/>
    <tableColumn id="16" xr3:uid="{00000000-0010-0000-0000-000010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4"/>
  <sheetViews>
    <sheetView tabSelected="1" workbookViewId="0">
      <selection activeCell="F8" sqref="F8"/>
    </sheetView>
  </sheetViews>
  <sheetFormatPr defaultRowHeight="14.4" x14ac:dyDescent="0.3"/>
  <cols>
    <col min="1" max="1" width="12.44140625" bestFit="1" customWidth="1"/>
    <col min="2" max="2" width="10.33203125" style="26" bestFit="1" customWidth="1"/>
    <col min="3" max="3" width="11.21875" bestFit="1" customWidth="1"/>
    <col min="4" max="4" width="12.33203125" bestFit="1" customWidth="1"/>
    <col min="5" max="5" width="20.77734375" bestFit="1" customWidth="1"/>
    <col min="6" max="6" width="30.5546875" bestFit="1" customWidth="1"/>
    <col min="7" max="7" width="18" customWidth="1"/>
    <col min="8" max="8" width="9.77734375" bestFit="1" customWidth="1"/>
    <col min="9" max="9" width="19" bestFit="1" customWidth="1"/>
    <col min="10" max="10" width="20.109375" bestFit="1" customWidth="1"/>
    <col min="11" max="11" width="11" customWidth="1"/>
    <col min="12" max="12" width="18.5546875" bestFit="1" customWidth="1"/>
    <col min="13" max="13" width="16.77734375" customWidth="1"/>
    <col min="14" max="14" width="15.44140625" bestFit="1" customWidth="1"/>
    <col min="15" max="15" width="20.5546875" bestFit="1" customWidth="1"/>
    <col min="16" max="16" width="12" customWidth="1"/>
  </cols>
  <sheetData>
    <row r="1" spans="1:16" x14ac:dyDescent="0.3">
      <c r="A1" s="1" t="s">
        <v>0</v>
      </c>
      <c r="B1" s="24" t="s">
        <v>1</v>
      </c>
      <c r="C1" s="1" t="s">
        <v>2</v>
      </c>
      <c r="D1" s="1" t="s">
        <v>3</v>
      </c>
      <c r="E1" s="32" t="s">
        <v>987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>
        <v>20250001</v>
      </c>
      <c r="B2" s="25">
        <v>45658</v>
      </c>
      <c r="C2" s="2" t="s">
        <v>486</v>
      </c>
      <c r="D2" s="2" t="s">
        <v>16</v>
      </c>
      <c r="E2" s="20" t="s">
        <v>498</v>
      </c>
      <c r="F2" s="20" t="s">
        <v>17</v>
      </c>
      <c r="G2" s="2" t="s">
        <v>18</v>
      </c>
      <c r="H2" s="3">
        <v>24</v>
      </c>
      <c r="I2" s="4">
        <v>9.94</v>
      </c>
      <c r="J2" s="5">
        <f t="shared" ref="J2:J61" si="0">H2*I2</f>
        <v>238.56</v>
      </c>
      <c r="K2" s="6">
        <v>0</v>
      </c>
      <c r="L2" s="5">
        <f t="shared" ref="L2:L61" si="1">IF(P2="Returned",0,J2*(1-K2))</f>
        <v>238.56</v>
      </c>
      <c r="M2" s="4">
        <v>1</v>
      </c>
      <c r="N2" s="5">
        <f t="shared" ref="N2:N61" si="2">IF(P2="Returned",0,H2*M2)</f>
        <v>24</v>
      </c>
      <c r="O2" s="5">
        <f t="shared" ref="O2:O61" si="3">L2-N2</f>
        <v>214.56</v>
      </c>
      <c r="P2" s="2" t="s">
        <v>19</v>
      </c>
    </row>
    <row r="3" spans="1:16" x14ac:dyDescent="0.3">
      <c r="A3" s="2">
        <f>A2+1</f>
        <v>20250002</v>
      </c>
      <c r="B3" s="25">
        <v>45658</v>
      </c>
      <c r="C3" s="2" t="s">
        <v>486</v>
      </c>
      <c r="D3" s="2" t="s">
        <v>16</v>
      </c>
      <c r="E3" s="20" t="s">
        <v>499</v>
      </c>
      <c r="F3" s="20" t="s">
        <v>20</v>
      </c>
      <c r="G3" s="2" t="s">
        <v>21</v>
      </c>
      <c r="H3" s="3">
        <v>18</v>
      </c>
      <c r="I3" s="4">
        <v>29.42</v>
      </c>
      <c r="J3" s="5">
        <f t="shared" si="0"/>
        <v>529.56000000000006</v>
      </c>
      <c r="K3" s="6">
        <v>0.03</v>
      </c>
      <c r="L3" s="5">
        <f t="shared" si="1"/>
        <v>0</v>
      </c>
      <c r="M3" s="4">
        <v>15</v>
      </c>
      <c r="N3" s="5">
        <f t="shared" si="2"/>
        <v>0</v>
      </c>
      <c r="O3" s="5">
        <f t="shared" si="3"/>
        <v>0</v>
      </c>
      <c r="P3" s="2" t="s">
        <v>22</v>
      </c>
    </row>
    <row r="4" spans="1:16" x14ac:dyDescent="0.3">
      <c r="A4" s="2">
        <f t="shared" ref="A4:A67" si="4">A3+1</f>
        <v>20250003</v>
      </c>
      <c r="B4" s="25">
        <v>45658</v>
      </c>
      <c r="C4" s="2" t="s">
        <v>486</v>
      </c>
      <c r="D4" s="2" t="s">
        <v>16</v>
      </c>
      <c r="E4" s="20" t="s">
        <v>500</v>
      </c>
      <c r="F4" s="20" t="s">
        <v>23</v>
      </c>
      <c r="G4" s="2" t="s">
        <v>21</v>
      </c>
      <c r="H4" s="3">
        <v>9</v>
      </c>
      <c r="I4" s="4">
        <v>27.11</v>
      </c>
      <c r="J4" s="5">
        <f t="shared" si="0"/>
        <v>243.99</v>
      </c>
      <c r="K4" s="6">
        <v>0.05</v>
      </c>
      <c r="L4" s="5">
        <f t="shared" si="1"/>
        <v>231.79050000000001</v>
      </c>
      <c r="M4" s="4">
        <v>15</v>
      </c>
      <c r="N4" s="5">
        <f t="shared" si="2"/>
        <v>135</v>
      </c>
      <c r="O4" s="5">
        <f t="shared" si="3"/>
        <v>96.790500000000009</v>
      </c>
      <c r="P4" s="2" t="s">
        <v>19</v>
      </c>
    </row>
    <row r="5" spans="1:16" x14ac:dyDescent="0.3">
      <c r="A5" s="2">
        <f t="shared" si="4"/>
        <v>20250004</v>
      </c>
      <c r="B5" s="25">
        <v>45658</v>
      </c>
      <c r="C5" s="2" t="s">
        <v>486</v>
      </c>
      <c r="D5" s="2" t="s">
        <v>24</v>
      </c>
      <c r="E5" s="20" t="s">
        <v>501</v>
      </c>
      <c r="F5" s="20" t="s">
        <v>25</v>
      </c>
      <c r="G5" s="2" t="s">
        <v>18</v>
      </c>
      <c r="H5" s="3">
        <v>24</v>
      </c>
      <c r="I5" s="4">
        <v>8.09</v>
      </c>
      <c r="J5" s="5">
        <f t="shared" si="0"/>
        <v>194.16</v>
      </c>
      <c r="K5" s="6">
        <v>0</v>
      </c>
      <c r="L5" s="5">
        <f t="shared" si="1"/>
        <v>194.16</v>
      </c>
      <c r="M5" s="4">
        <v>1</v>
      </c>
      <c r="N5" s="5">
        <f t="shared" si="2"/>
        <v>24</v>
      </c>
      <c r="O5" s="5">
        <f t="shared" si="3"/>
        <v>170.16</v>
      </c>
      <c r="P5" s="2" t="s">
        <v>19</v>
      </c>
    </row>
    <row r="6" spans="1:16" x14ac:dyDescent="0.3">
      <c r="A6" s="2">
        <f t="shared" si="4"/>
        <v>20250005</v>
      </c>
      <c r="B6" s="25">
        <v>45658</v>
      </c>
      <c r="C6" s="2" t="s">
        <v>486</v>
      </c>
      <c r="D6" s="2" t="s">
        <v>24</v>
      </c>
      <c r="E6" s="20" t="s">
        <v>502</v>
      </c>
      <c r="F6" s="20" t="s">
        <v>26</v>
      </c>
      <c r="G6" s="2" t="s">
        <v>27</v>
      </c>
      <c r="H6" s="3">
        <v>2</v>
      </c>
      <c r="I6" s="4">
        <v>46.23</v>
      </c>
      <c r="J6" s="5">
        <f t="shared" si="0"/>
        <v>92.46</v>
      </c>
      <c r="K6" s="6">
        <v>0.02</v>
      </c>
      <c r="L6" s="5">
        <f t="shared" si="1"/>
        <v>90.610799999999998</v>
      </c>
      <c r="M6" s="4">
        <v>24</v>
      </c>
      <c r="N6" s="5">
        <f t="shared" si="2"/>
        <v>48</v>
      </c>
      <c r="O6" s="5">
        <f t="shared" si="3"/>
        <v>42.610799999999998</v>
      </c>
      <c r="P6" s="2" t="s">
        <v>19</v>
      </c>
    </row>
    <row r="7" spans="1:16" x14ac:dyDescent="0.3">
      <c r="A7" s="2">
        <f t="shared" si="4"/>
        <v>20250006</v>
      </c>
      <c r="B7" s="25">
        <v>45658</v>
      </c>
      <c r="C7" s="2" t="s">
        <v>486</v>
      </c>
      <c r="D7" s="2" t="s">
        <v>28</v>
      </c>
      <c r="E7" s="20" t="s">
        <v>503</v>
      </c>
      <c r="F7" s="20" t="s">
        <v>29</v>
      </c>
      <c r="G7" s="2" t="s">
        <v>21</v>
      </c>
      <c r="H7" s="3">
        <v>91</v>
      </c>
      <c r="I7" s="4">
        <v>28.21</v>
      </c>
      <c r="J7" s="5">
        <f t="shared" si="0"/>
        <v>2567.11</v>
      </c>
      <c r="K7" s="6">
        <v>0.08</v>
      </c>
      <c r="L7" s="5">
        <f t="shared" si="1"/>
        <v>2361.7412000000004</v>
      </c>
      <c r="M7" s="4">
        <v>15</v>
      </c>
      <c r="N7" s="5">
        <f t="shared" si="2"/>
        <v>1365</v>
      </c>
      <c r="O7" s="5">
        <f t="shared" si="3"/>
        <v>996.74120000000039</v>
      </c>
      <c r="P7" s="2" t="s">
        <v>19</v>
      </c>
    </row>
    <row r="8" spans="1:16" x14ac:dyDescent="0.3">
      <c r="A8" s="2">
        <f t="shared" si="4"/>
        <v>20250007</v>
      </c>
      <c r="B8" s="25">
        <v>45658</v>
      </c>
      <c r="C8" s="2" t="s">
        <v>486</v>
      </c>
      <c r="D8" s="2" t="s">
        <v>16</v>
      </c>
      <c r="E8" s="20" t="s">
        <v>504</v>
      </c>
      <c r="F8" s="20" t="s">
        <v>30</v>
      </c>
      <c r="G8" s="2" t="s">
        <v>18</v>
      </c>
      <c r="H8" s="3">
        <v>6</v>
      </c>
      <c r="I8" s="4">
        <v>9.7100000000000009</v>
      </c>
      <c r="J8" s="5">
        <f t="shared" si="0"/>
        <v>58.260000000000005</v>
      </c>
      <c r="K8" s="6">
        <v>0.02</v>
      </c>
      <c r="L8" s="5">
        <f t="shared" si="1"/>
        <v>57.094800000000006</v>
      </c>
      <c r="M8" s="4">
        <v>1</v>
      </c>
      <c r="N8" s="5">
        <f t="shared" si="2"/>
        <v>6</v>
      </c>
      <c r="O8" s="5">
        <f t="shared" si="3"/>
        <v>51.094800000000006</v>
      </c>
      <c r="P8" s="2" t="s">
        <v>19</v>
      </c>
    </row>
    <row r="9" spans="1:16" x14ac:dyDescent="0.3">
      <c r="A9" s="2">
        <f t="shared" si="4"/>
        <v>20250008</v>
      </c>
      <c r="B9" s="25">
        <v>45658</v>
      </c>
      <c r="C9" s="2" t="s">
        <v>486</v>
      </c>
      <c r="D9" s="2" t="s">
        <v>16</v>
      </c>
      <c r="E9" s="20" t="s">
        <v>505</v>
      </c>
      <c r="F9" s="20" t="s">
        <v>31</v>
      </c>
      <c r="G9" s="2" t="s">
        <v>21</v>
      </c>
      <c r="H9" s="3">
        <v>13</v>
      </c>
      <c r="I9" s="4">
        <v>28.43</v>
      </c>
      <c r="J9" s="5">
        <f t="shared" si="0"/>
        <v>369.59</v>
      </c>
      <c r="K9" s="6">
        <v>0.03</v>
      </c>
      <c r="L9" s="5">
        <f t="shared" si="1"/>
        <v>358.50229999999999</v>
      </c>
      <c r="M9" s="4">
        <v>15</v>
      </c>
      <c r="N9" s="5">
        <f t="shared" si="2"/>
        <v>195</v>
      </c>
      <c r="O9" s="5">
        <f t="shared" si="3"/>
        <v>163.50229999999999</v>
      </c>
      <c r="P9" s="2" t="s">
        <v>19</v>
      </c>
    </row>
    <row r="10" spans="1:16" x14ac:dyDescent="0.3">
      <c r="A10" s="2">
        <f t="shared" si="4"/>
        <v>20250009</v>
      </c>
      <c r="B10" s="25">
        <v>45658</v>
      </c>
      <c r="C10" s="2" t="s">
        <v>486</v>
      </c>
      <c r="D10" s="2" t="s">
        <v>28</v>
      </c>
      <c r="E10" s="20" t="s">
        <v>506</v>
      </c>
      <c r="F10" s="20" t="s">
        <v>923</v>
      </c>
      <c r="G10" s="2" t="s">
        <v>32</v>
      </c>
      <c r="H10" s="3">
        <v>28</v>
      </c>
      <c r="I10" s="4">
        <v>19.3</v>
      </c>
      <c r="J10" s="5">
        <f t="shared" si="0"/>
        <v>540.4</v>
      </c>
      <c r="K10" s="6">
        <v>0.08</v>
      </c>
      <c r="L10" s="5">
        <f t="shared" si="1"/>
        <v>497.16800000000001</v>
      </c>
      <c r="M10" s="4">
        <v>9.5</v>
      </c>
      <c r="N10" s="5">
        <f t="shared" si="2"/>
        <v>266</v>
      </c>
      <c r="O10" s="5">
        <f t="shared" si="3"/>
        <v>231.16800000000001</v>
      </c>
      <c r="P10" s="2" t="s">
        <v>19</v>
      </c>
    </row>
    <row r="11" spans="1:16" x14ac:dyDescent="0.3">
      <c r="A11" s="2">
        <f t="shared" si="4"/>
        <v>20250010</v>
      </c>
      <c r="B11" s="25">
        <v>45658</v>
      </c>
      <c r="C11" s="2" t="s">
        <v>486</v>
      </c>
      <c r="D11" s="2" t="s">
        <v>28</v>
      </c>
      <c r="E11" s="20" t="s">
        <v>507</v>
      </c>
      <c r="F11" s="20" t="s">
        <v>33</v>
      </c>
      <c r="G11" s="2" t="s">
        <v>27</v>
      </c>
      <c r="H11" s="3">
        <v>38</v>
      </c>
      <c r="I11" s="4">
        <v>42.88</v>
      </c>
      <c r="J11" s="5">
        <f t="shared" si="0"/>
        <v>1629.44</v>
      </c>
      <c r="K11" s="6">
        <v>0.08</v>
      </c>
      <c r="L11" s="5">
        <f t="shared" si="1"/>
        <v>1499.0848000000001</v>
      </c>
      <c r="M11" s="4">
        <v>24</v>
      </c>
      <c r="N11" s="5">
        <f t="shared" si="2"/>
        <v>912</v>
      </c>
      <c r="O11" s="5">
        <f t="shared" si="3"/>
        <v>587.08480000000009</v>
      </c>
      <c r="P11" s="2" t="s">
        <v>19</v>
      </c>
    </row>
    <row r="12" spans="1:16" x14ac:dyDescent="0.3">
      <c r="A12" s="2">
        <f t="shared" si="4"/>
        <v>20250011</v>
      </c>
      <c r="B12" s="25">
        <v>45658</v>
      </c>
      <c r="C12" s="2" t="s">
        <v>486</v>
      </c>
      <c r="D12" s="2" t="s">
        <v>16</v>
      </c>
      <c r="E12" s="20" t="s">
        <v>508</v>
      </c>
      <c r="F12" s="20" t="s">
        <v>34</v>
      </c>
      <c r="G12" s="2" t="s">
        <v>21</v>
      </c>
      <c r="H12" s="3">
        <v>22</v>
      </c>
      <c r="I12" s="4">
        <v>31.02</v>
      </c>
      <c r="J12" s="5">
        <f t="shared" si="0"/>
        <v>682.43999999999994</v>
      </c>
      <c r="K12" s="6">
        <v>0</v>
      </c>
      <c r="L12" s="5">
        <f t="shared" si="1"/>
        <v>682.43999999999994</v>
      </c>
      <c r="M12" s="4">
        <v>15</v>
      </c>
      <c r="N12" s="5">
        <f t="shared" si="2"/>
        <v>330</v>
      </c>
      <c r="O12" s="5">
        <f t="shared" si="3"/>
        <v>352.43999999999994</v>
      </c>
      <c r="P12" s="2" t="s">
        <v>19</v>
      </c>
    </row>
    <row r="13" spans="1:16" x14ac:dyDescent="0.3">
      <c r="A13" s="2">
        <f t="shared" si="4"/>
        <v>20250012</v>
      </c>
      <c r="B13" s="25">
        <v>45658</v>
      </c>
      <c r="C13" s="2" t="s">
        <v>486</v>
      </c>
      <c r="D13" s="2" t="s">
        <v>24</v>
      </c>
      <c r="E13" s="20" t="s">
        <v>509</v>
      </c>
      <c r="F13" s="20" t="s">
        <v>35</v>
      </c>
      <c r="G13" s="2" t="s">
        <v>27</v>
      </c>
      <c r="H13" s="3">
        <v>22</v>
      </c>
      <c r="I13" s="4">
        <v>50.3</v>
      </c>
      <c r="J13" s="5">
        <f t="shared" si="0"/>
        <v>1106.5999999999999</v>
      </c>
      <c r="K13" s="6">
        <v>0.02</v>
      </c>
      <c r="L13" s="5">
        <f t="shared" si="1"/>
        <v>1084.4679999999998</v>
      </c>
      <c r="M13" s="4">
        <v>24</v>
      </c>
      <c r="N13" s="5">
        <f t="shared" si="2"/>
        <v>528</v>
      </c>
      <c r="O13" s="5">
        <f t="shared" si="3"/>
        <v>556.46799999999985</v>
      </c>
      <c r="P13" s="2" t="s">
        <v>19</v>
      </c>
    </row>
    <row r="14" spans="1:16" x14ac:dyDescent="0.3">
      <c r="A14" s="2">
        <f t="shared" si="4"/>
        <v>20250013</v>
      </c>
      <c r="B14" s="25">
        <v>45658</v>
      </c>
      <c r="C14" s="2" t="s">
        <v>486</v>
      </c>
      <c r="D14" s="2" t="s">
        <v>28</v>
      </c>
      <c r="E14" s="20" t="s">
        <v>510</v>
      </c>
      <c r="F14" s="20" t="s">
        <v>36</v>
      </c>
      <c r="G14" s="2" t="s">
        <v>32</v>
      </c>
      <c r="H14" s="3">
        <v>74</v>
      </c>
      <c r="I14" s="4">
        <v>17</v>
      </c>
      <c r="J14" s="5">
        <f t="shared" si="0"/>
        <v>1258</v>
      </c>
      <c r="K14" s="6">
        <v>0.15</v>
      </c>
      <c r="L14" s="5">
        <f t="shared" si="1"/>
        <v>1069.3</v>
      </c>
      <c r="M14" s="4">
        <v>9.5</v>
      </c>
      <c r="N14" s="5">
        <f t="shared" si="2"/>
        <v>703</v>
      </c>
      <c r="O14" s="5">
        <f t="shared" si="3"/>
        <v>366.29999999999995</v>
      </c>
      <c r="P14" s="2" t="s">
        <v>19</v>
      </c>
    </row>
    <row r="15" spans="1:16" x14ac:dyDescent="0.3">
      <c r="A15" s="2">
        <f t="shared" si="4"/>
        <v>20250014</v>
      </c>
      <c r="B15" s="25">
        <v>45658</v>
      </c>
      <c r="C15" s="2" t="s">
        <v>486</v>
      </c>
      <c r="D15" s="2" t="s">
        <v>28</v>
      </c>
      <c r="E15" s="20" t="s">
        <v>511</v>
      </c>
      <c r="F15" s="20" t="s">
        <v>37</v>
      </c>
      <c r="G15" s="2" t="s">
        <v>27</v>
      </c>
      <c r="H15" s="3">
        <v>12</v>
      </c>
      <c r="I15" s="4">
        <v>53.24</v>
      </c>
      <c r="J15" s="5">
        <f t="shared" si="0"/>
        <v>638.88</v>
      </c>
      <c r="K15" s="6">
        <v>0.15</v>
      </c>
      <c r="L15" s="5">
        <f t="shared" si="1"/>
        <v>543.048</v>
      </c>
      <c r="M15" s="4">
        <v>24</v>
      </c>
      <c r="N15" s="5">
        <f t="shared" si="2"/>
        <v>288</v>
      </c>
      <c r="O15" s="5">
        <f t="shared" si="3"/>
        <v>255.048</v>
      </c>
      <c r="P15" s="2" t="s">
        <v>19</v>
      </c>
    </row>
    <row r="16" spans="1:16" x14ac:dyDescent="0.3">
      <c r="A16" s="2">
        <f t="shared" si="4"/>
        <v>20250015</v>
      </c>
      <c r="B16" s="25">
        <v>45658</v>
      </c>
      <c r="C16" s="2" t="s">
        <v>486</v>
      </c>
      <c r="D16" s="2" t="s">
        <v>28</v>
      </c>
      <c r="E16" s="20" t="s">
        <v>512</v>
      </c>
      <c r="F16" s="20" t="s">
        <v>38</v>
      </c>
      <c r="G16" s="2" t="s">
        <v>18</v>
      </c>
      <c r="H16" s="3">
        <v>56</v>
      </c>
      <c r="I16" s="4">
        <v>10.24</v>
      </c>
      <c r="J16" s="5">
        <f t="shared" si="0"/>
        <v>573.44000000000005</v>
      </c>
      <c r="K16" s="6">
        <v>0.1</v>
      </c>
      <c r="L16" s="5">
        <f t="shared" si="1"/>
        <v>0</v>
      </c>
      <c r="M16" s="4">
        <v>1</v>
      </c>
      <c r="N16" s="5">
        <f t="shared" si="2"/>
        <v>0</v>
      </c>
      <c r="O16" s="5">
        <f t="shared" si="3"/>
        <v>0</v>
      </c>
      <c r="P16" s="2" t="s">
        <v>22</v>
      </c>
    </row>
    <row r="17" spans="1:16" x14ac:dyDescent="0.3">
      <c r="A17" s="2">
        <f t="shared" si="4"/>
        <v>20250016</v>
      </c>
      <c r="B17" s="25">
        <v>45658</v>
      </c>
      <c r="C17" s="2" t="s">
        <v>486</v>
      </c>
      <c r="D17" s="2" t="s">
        <v>16</v>
      </c>
      <c r="E17" s="20" t="s">
        <v>513</v>
      </c>
      <c r="F17" s="20" t="s">
        <v>39</v>
      </c>
      <c r="G17" s="2" t="s">
        <v>21</v>
      </c>
      <c r="H17" s="3">
        <v>25</v>
      </c>
      <c r="I17" s="4">
        <v>25.85</v>
      </c>
      <c r="J17" s="5">
        <f t="shared" si="0"/>
        <v>646.25</v>
      </c>
      <c r="K17" s="6">
        <v>0</v>
      </c>
      <c r="L17" s="5">
        <f t="shared" si="1"/>
        <v>0</v>
      </c>
      <c r="M17" s="4">
        <v>15</v>
      </c>
      <c r="N17" s="5">
        <f t="shared" si="2"/>
        <v>0</v>
      </c>
      <c r="O17" s="5">
        <f t="shared" si="3"/>
        <v>0</v>
      </c>
      <c r="P17" s="2" t="s">
        <v>22</v>
      </c>
    </row>
    <row r="18" spans="1:16" x14ac:dyDescent="0.3">
      <c r="A18" s="2">
        <f t="shared" si="4"/>
        <v>20250017</v>
      </c>
      <c r="B18" s="25">
        <v>45659</v>
      </c>
      <c r="C18" s="2" t="s">
        <v>486</v>
      </c>
      <c r="D18" s="2" t="s">
        <v>24</v>
      </c>
      <c r="E18" s="20" t="s">
        <v>514</v>
      </c>
      <c r="F18" s="20" t="s">
        <v>40</v>
      </c>
      <c r="G18" s="2" t="s">
        <v>32</v>
      </c>
      <c r="H18" s="3">
        <v>18</v>
      </c>
      <c r="I18" s="4">
        <v>21</v>
      </c>
      <c r="J18" s="5">
        <f t="shared" si="0"/>
        <v>378</v>
      </c>
      <c r="K18" s="6">
        <v>0</v>
      </c>
      <c r="L18" s="5">
        <f t="shared" si="1"/>
        <v>378</v>
      </c>
      <c r="M18" s="4">
        <v>9.5</v>
      </c>
      <c r="N18" s="5">
        <f t="shared" si="2"/>
        <v>171</v>
      </c>
      <c r="O18" s="5">
        <f t="shared" si="3"/>
        <v>207</v>
      </c>
      <c r="P18" s="2" t="s">
        <v>19</v>
      </c>
    </row>
    <row r="19" spans="1:16" x14ac:dyDescent="0.3">
      <c r="A19" s="2">
        <f t="shared" si="4"/>
        <v>20250018</v>
      </c>
      <c r="B19" s="25">
        <v>45659</v>
      </c>
      <c r="C19" s="2" t="s">
        <v>486</v>
      </c>
      <c r="D19" s="2" t="s">
        <v>28</v>
      </c>
      <c r="E19" s="20" t="s">
        <v>515</v>
      </c>
      <c r="F19" s="20" t="s">
        <v>41</v>
      </c>
      <c r="G19" s="2" t="s">
        <v>18</v>
      </c>
      <c r="H19" s="3">
        <v>41</v>
      </c>
      <c r="I19" s="4">
        <v>8.0399999999999991</v>
      </c>
      <c r="J19" s="5">
        <f t="shared" si="0"/>
        <v>329.64</v>
      </c>
      <c r="K19" s="6">
        <v>0.1</v>
      </c>
      <c r="L19" s="5">
        <f t="shared" si="1"/>
        <v>296.67599999999999</v>
      </c>
      <c r="M19" s="4">
        <v>1</v>
      </c>
      <c r="N19" s="5">
        <f t="shared" si="2"/>
        <v>41</v>
      </c>
      <c r="O19" s="5">
        <f t="shared" si="3"/>
        <v>255.67599999999999</v>
      </c>
      <c r="P19" s="2" t="s">
        <v>19</v>
      </c>
    </row>
    <row r="20" spans="1:16" x14ac:dyDescent="0.3">
      <c r="A20" s="2">
        <f t="shared" si="4"/>
        <v>20250019</v>
      </c>
      <c r="B20" s="25">
        <v>45659</v>
      </c>
      <c r="C20" s="2" t="s">
        <v>486</v>
      </c>
      <c r="D20" s="2" t="s">
        <v>16</v>
      </c>
      <c r="E20" s="20" t="s">
        <v>516</v>
      </c>
      <c r="F20" s="20" t="s">
        <v>42</v>
      </c>
      <c r="G20" s="2" t="s">
        <v>27</v>
      </c>
      <c r="H20" s="3">
        <v>23</v>
      </c>
      <c r="I20" s="4">
        <v>49.44</v>
      </c>
      <c r="J20" s="5">
        <f t="shared" si="0"/>
        <v>1137.1199999999999</v>
      </c>
      <c r="K20" s="6">
        <v>0</v>
      </c>
      <c r="L20" s="5">
        <f t="shared" si="1"/>
        <v>1137.1199999999999</v>
      </c>
      <c r="M20" s="4">
        <v>24</v>
      </c>
      <c r="N20" s="5">
        <f t="shared" si="2"/>
        <v>552</v>
      </c>
      <c r="O20" s="5">
        <f t="shared" si="3"/>
        <v>585.11999999999989</v>
      </c>
      <c r="P20" s="2" t="s">
        <v>19</v>
      </c>
    </row>
    <row r="21" spans="1:16" x14ac:dyDescent="0.3">
      <c r="A21" s="2">
        <f t="shared" si="4"/>
        <v>20250020</v>
      </c>
      <c r="B21" s="25">
        <v>45659</v>
      </c>
      <c r="C21" s="2" t="s">
        <v>486</v>
      </c>
      <c r="D21" s="2" t="s">
        <v>16</v>
      </c>
      <c r="E21" s="20" t="s">
        <v>517</v>
      </c>
      <c r="F21" s="20" t="s">
        <v>924</v>
      </c>
      <c r="G21" s="2" t="s">
        <v>18</v>
      </c>
      <c r="H21" s="3">
        <v>22</v>
      </c>
      <c r="I21" s="4">
        <v>11.14</v>
      </c>
      <c r="J21" s="5">
        <f t="shared" si="0"/>
        <v>245.08</v>
      </c>
      <c r="K21" s="6">
        <v>0.03</v>
      </c>
      <c r="L21" s="5">
        <f t="shared" si="1"/>
        <v>237.7276</v>
      </c>
      <c r="M21" s="4">
        <v>1</v>
      </c>
      <c r="N21" s="5">
        <f t="shared" si="2"/>
        <v>22</v>
      </c>
      <c r="O21" s="5">
        <f t="shared" si="3"/>
        <v>215.7276</v>
      </c>
      <c r="P21" s="2" t="s">
        <v>19</v>
      </c>
    </row>
    <row r="22" spans="1:16" x14ac:dyDescent="0.3">
      <c r="A22" s="2">
        <f t="shared" si="4"/>
        <v>20250021</v>
      </c>
      <c r="B22" s="25">
        <v>45659</v>
      </c>
      <c r="C22" s="2" t="s">
        <v>486</v>
      </c>
      <c r="D22" s="2" t="s">
        <v>16</v>
      </c>
      <c r="E22" s="20" t="s">
        <v>518</v>
      </c>
      <c r="F22" s="20" t="s">
        <v>44</v>
      </c>
      <c r="G22" s="2" t="s">
        <v>43</v>
      </c>
      <c r="H22" s="3">
        <v>9</v>
      </c>
      <c r="I22" s="4">
        <v>14.23</v>
      </c>
      <c r="J22" s="5">
        <f t="shared" si="0"/>
        <v>128.07</v>
      </c>
      <c r="K22" s="6">
        <v>0</v>
      </c>
      <c r="L22" s="5">
        <f t="shared" si="1"/>
        <v>128.07</v>
      </c>
      <c r="M22" s="4">
        <v>3</v>
      </c>
      <c r="N22" s="5">
        <f t="shared" si="2"/>
        <v>27</v>
      </c>
      <c r="O22" s="5">
        <f t="shared" si="3"/>
        <v>101.07</v>
      </c>
      <c r="P22" s="2" t="s">
        <v>19</v>
      </c>
    </row>
    <row r="23" spans="1:16" x14ac:dyDescent="0.3">
      <c r="A23" s="2">
        <f t="shared" si="4"/>
        <v>20250022</v>
      </c>
      <c r="B23" s="25">
        <v>45659</v>
      </c>
      <c r="C23" s="2" t="s">
        <v>486</v>
      </c>
      <c r="D23" s="2" t="s">
        <v>16</v>
      </c>
      <c r="E23" s="20" t="s">
        <v>519</v>
      </c>
      <c r="F23" s="20" t="s">
        <v>45</v>
      </c>
      <c r="G23" s="2" t="s">
        <v>27</v>
      </c>
      <c r="H23" s="3">
        <v>3</v>
      </c>
      <c r="I23" s="4">
        <v>53.24</v>
      </c>
      <c r="J23" s="5">
        <f t="shared" si="0"/>
        <v>159.72</v>
      </c>
      <c r="K23" s="6">
        <v>0</v>
      </c>
      <c r="L23" s="5">
        <f t="shared" si="1"/>
        <v>0</v>
      </c>
      <c r="M23" s="4">
        <v>24</v>
      </c>
      <c r="N23" s="5">
        <f t="shared" si="2"/>
        <v>0</v>
      </c>
      <c r="O23" s="5">
        <f t="shared" si="3"/>
        <v>0</v>
      </c>
      <c r="P23" s="2" t="s">
        <v>22</v>
      </c>
    </row>
    <row r="24" spans="1:16" x14ac:dyDescent="0.3">
      <c r="A24" s="2">
        <f t="shared" si="4"/>
        <v>20250023</v>
      </c>
      <c r="B24" s="25">
        <v>45659</v>
      </c>
      <c r="C24" s="2" t="s">
        <v>486</v>
      </c>
      <c r="D24" s="2" t="s">
        <v>28</v>
      </c>
      <c r="E24" s="20" t="s">
        <v>520</v>
      </c>
      <c r="F24" s="20" t="s">
        <v>46</v>
      </c>
      <c r="G24" s="2" t="s">
        <v>32</v>
      </c>
      <c r="H24" s="3">
        <v>58</v>
      </c>
      <c r="I24" s="4">
        <v>17.77</v>
      </c>
      <c r="J24" s="5">
        <f t="shared" si="0"/>
        <v>1030.6600000000001</v>
      </c>
      <c r="K24" s="6">
        <v>0.12</v>
      </c>
      <c r="L24" s="5">
        <f t="shared" si="1"/>
        <v>906.98080000000004</v>
      </c>
      <c r="M24" s="4">
        <v>9.5</v>
      </c>
      <c r="N24" s="5">
        <f t="shared" si="2"/>
        <v>551</v>
      </c>
      <c r="O24" s="5">
        <f t="shared" si="3"/>
        <v>355.98080000000004</v>
      </c>
      <c r="P24" s="2" t="s">
        <v>19</v>
      </c>
    </row>
    <row r="25" spans="1:16" x14ac:dyDescent="0.3">
      <c r="A25" s="2">
        <f t="shared" si="4"/>
        <v>20250024</v>
      </c>
      <c r="B25" s="25">
        <v>45659</v>
      </c>
      <c r="C25" s="2" t="s">
        <v>486</v>
      </c>
      <c r="D25" s="2" t="s">
        <v>24</v>
      </c>
      <c r="E25" s="20" t="s">
        <v>521</v>
      </c>
      <c r="F25" s="20" t="s">
        <v>47</v>
      </c>
      <c r="G25" s="2" t="s">
        <v>43</v>
      </c>
      <c r="H25" s="3">
        <v>5</v>
      </c>
      <c r="I25" s="4">
        <v>17.48</v>
      </c>
      <c r="J25" s="5">
        <f t="shared" si="0"/>
        <v>87.4</v>
      </c>
      <c r="K25" s="6">
        <v>0.03</v>
      </c>
      <c r="L25" s="5">
        <f t="shared" si="1"/>
        <v>84.778000000000006</v>
      </c>
      <c r="M25" s="4">
        <v>3</v>
      </c>
      <c r="N25" s="5">
        <f t="shared" si="2"/>
        <v>15</v>
      </c>
      <c r="O25" s="5">
        <f t="shared" si="3"/>
        <v>69.778000000000006</v>
      </c>
      <c r="P25" s="2" t="s">
        <v>19</v>
      </c>
    </row>
    <row r="26" spans="1:16" x14ac:dyDescent="0.3">
      <c r="A26" s="2">
        <f t="shared" si="4"/>
        <v>20250025</v>
      </c>
      <c r="B26" s="25">
        <v>45659</v>
      </c>
      <c r="C26" s="2" t="s">
        <v>486</v>
      </c>
      <c r="D26" s="2" t="s">
        <v>24</v>
      </c>
      <c r="E26" s="20" t="s">
        <v>522</v>
      </c>
      <c r="F26" s="20" t="s">
        <v>48</v>
      </c>
      <c r="G26" s="2" t="s">
        <v>21</v>
      </c>
      <c r="H26" s="3">
        <v>19</v>
      </c>
      <c r="I26" s="4">
        <v>31.73</v>
      </c>
      <c r="J26" s="5">
        <f t="shared" si="0"/>
        <v>602.87</v>
      </c>
      <c r="K26" s="6">
        <v>0</v>
      </c>
      <c r="L26" s="5">
        <f t="shared" si="1"/>
        <v>602.87</v>
      </c>
      <c r="M26" s="4">
        <v>15</v>
      </c>
      <c r="N26" s="5">
        <f t="shared" si="2"/>
        <v>285</v>
      </c>
      <c r="O26" s="5">
        <f t="shared" si="3"/>
        <v>317.87</v>
      </c>
      <c r="P26" s="2" t="s">
        <v>19</v>
      </c>
    </row>
    <row r="27" spans="1:16" x14ac:dyDescent="0.3">
      <c r="A27" s="2">
        <f t="shared" si="4"/>
        <v>20250026</v>
      </c>
      <c r="B27" s="25">
        <v>45659</v>
      </c>
      <c r="C27" s="2" t="s">
        <v>486</v>
      </c>
      <c r="D27" s="2" t="s">
        <v>16</v>
      </c>
      <c r="E27" s="20" t="s">
        <v>523</v>
      </c>
      <c r="F27" s="20" t="s">
        <v>49</v>
      </c>
      <c r="G27" s="2" t="s">
        <v>32</v>
      </c>
      <c r="H27" s="3">
        <v>13</v>
      </c>
      <c r="I27" s="4">
        <v>22.95</v>
      </c>
      <c r="J27" s="5">
        <f t="shared" si="0"/>
        <v>298.34999999999997</v>
      </c>
      <c r="K27" s="6">
        <v>0</v>
      </c>
      <c r="L27" s="5">
        <f t="shared" si="1"/>
        <v>298.34999999999997</v>
      </c>
      <c r="M27" s="4">
        <v>9.5</v>
      </c>
      <c r="N27" s="5">
        <f t="shared" si="2"/>
        <v>123.5</v>
      </c>
      <c r="O27" s="5">
        <f t="shared" si="3"/>
        <v>174.84999999999997</v>
      </c>
      <c r="P27" s="2" t="s">
        <v>19</v>
      </c>
    </row>
    <row r="28" spans="1:16" x14ac:dyDescent="0.3">
      <c r="A28" s="2">
        <f t="shared" si="4"/>
        <v>20250027</v>
      </c>
      <c r="B28" s="25">
        <v>45659</v>
      </c>
      <c r="C28" s="2" t="s">
        <v>486</v>
      </c>
      <c r="D28" s="2" t="s">
        <v>28</v>
      </c>
      <c r="E28" s="20" t="s">
        <v>524</v>
      </c>
      <c r="F28" s="20" t="s">
        <v>50</v>
      </c>
      <c r="G28" s="2" t="s">
        <v>21</v>
      </c>
      <c r="H28" s="3">
        <v>36</v>
      </c>
      <c r="I28" s="4">
        <v>25.57</v>
      </c>
      <c r="J28" s="5">
        <f t="shared" si="0"/>
        <v>920.52</v>
      </c>
      <c r="K28" s="6">
        <v>0.1</v>
      </c>
      <c r="L28" s="5">
        <f t="shared" si="1"/>
        <v>0</v>
      </c>
      <c r="M28" s="4">
        <v>15</v>
      </c>
      <c r="N28" s="5">
        <f t="shared" si="2"/>
        <v>0</v>
      </c>
      <c r="O28" s="5">
        <f t="shared" si="3"/>
        <v>0</v>
      </c>
      <c r="P28" s="2" t="s">
        <v>22</v>
      </c>
    </row>
    <row r="29" spans="1:16" x14ac:dyDescent="0.3">
      <c r="A29" s="2">
        <f t="shared" si="4"/>
        <v>20250028</v>
      </c>
      <c r="B29" s="25">
        <v>45659</v>
      </c>
      <c r="C29" s="2" t="s">
        <v>486</v>
      </c>
      <c r="D29" s="2" t="s">
        <v>28</v>
      </c>
      <c r="E29" s="20" t="s">
        <v>525</v>
      </c>
      <c r="F29" s="20" t="s">
        <v>51</v>
      </c>
      <c r="G29" s="2" t="s">
        <v>18</v>
      </c>
      <c r="H29" s="3">
        <v>11</v>
      </c>
      <c r="I29" s="4">
        <v>7.66</v>
      </c>
      <c r="J29" s="5">
        <f t="shared" si="0"/>
        <v>84.26</v>
      </c>
      <c r="K29" s="6">
        <v>0.15</v>
      </c>
      <c r="L29" s="5">
        <f t="shared" si="1"/>
        <v>71.621000000000009</v>
      </c>
      <c r="M29" s="4">
        <v>1</v>
      </c>
      <c r="N29" s="5">
        <f t="shared" si="2"/>
        <v>11</v>
      </c>
      <c r="O29" s="5">
        <f t="shared" si="3"/>
        <v>60.621000000000009</v>
      </c>
      <c r="P29" s="2" t="s">
        <v>19</v>
      </c>
    </row>
    <row r="30" spans="1:16" x14ac:dyDescent="0.3">
      <c r="A30" s="2">
        <f t="shared" si="4"/>
        <v>20250029</v>
      </c>
      <c r="B30" s="25">
        <v>45659</v>
      </c>
      <c r="C30" s="2" t="s">
        <v>486</v>
      </c>
      <c r="D30" s="2" t="s">
        <v>24</v>
      </c>
      <c r="E30" s="20" t="s">
        <v>526</v>
      </c>
      <c r="F30" s="20" t="s">
        <v>52</v>
      </c>
      <c r="G30" s="2" t="s">
        <v>27</v>
      </c>
      <c r="H30" s="3">
        <v>3</v>
      </c>
      <c r="I30" s="4">
        <v>46.83</v>
      </c>
      <c r="J30" s="5">
        <f t="shared" si="0"/>
        <v>140.49</v>
      </c>
      <c r="K30" s="6">
        <v>0.05</v>
      </c>
      <c r="L30" s="5">
        <f t="shared" si="1"/>
        <v>133.46549999999999</v>
      </c>
      <c r="M30" s="4">
        <v>24</v>
      </c>
      <c r="N30" s="5">
        <f t="shared" si="2"/>
        <v>72</v>
      </c>
      <c r="O30" s="5">
        <f t="shared" si="3"/>
        <v>61.465499999999992</v>
      </c>
      <c r="P30" s="2" t="s">
        <v>19</v>
      </c>
    </row>
    <row r="31" spans="1:16" x14ac:dyDescent="0.3">
      <c r="A31" s="2">
        <f t="shared" si="4"/>
        <v>20250030</v>
      </c>
      <c r="B31" s="25">
        <v>45659</v>
      </c>
      <c r="C31" s="2" t="s">
        <v>486</v>
      </c>
      <c r="D31" s="2" t="s">
        <v>24</v>
      </c>
      <c r="E31" s="20" t="s">
        <v>527</v>
      </c>
      <c r="F31" s="20" t="s">
        <v>53</v>
      </c>
      <c r="G31" s="2" t="s">
        <v>27</v>
      </c>
      <c r="H31" s="3">
        <v>22</v>
      </c>
      <c r="I31" s="4">
        <v>46.15</v>
      </c>
      <c r="J31" s="5">
        <f t="shared" si="0"/>
        <v>1015.3</v>
      </c>
      <c r="K31" s="6">
        <v>0.03</v>
      </c>
      <c r="L31" s="5">
        <f t="shared" si="1"/>
        <v>984.84099999999989</v>
      </c>
      <c r="M31" s="4">
        <v>24</v>
      </c>
      <c r="N31" s="5">
        <f t="shared" si="2"/>
        <v>528</v>
      </c>
      <c r="O31" s="5">
        <f t="shared" si="3"/>
        <v>456.84099999999989</v>
      </c>
      <c r="P31" s="2" t="s">
        <v>19</v>
      </c>
    </row>
    <row r="32" spans="1:16" x14ac:dyDescent="0.3">
      <c r="A32" s="2">
        <f t="shared" si="4"/>
        <v>20250031</v>
      </c>
      <c r="B32" s="25">
        <v>45659</v>
      </c>
      <c r="C32" s="2" t="s">
        <v>486</v>
      </c>
      <c r="D32" s="2" t="s">
        <v>16</v>
      </c>
      <c r="E32" s="20" t="s">
        <v>528</v>
      </c>
      <c r="F32" s="20" t="s">
        <v>54</v>
      </c>
      <c r="G32" s="2" t="s">
        <v>27</v>
      </c>
      <c r="H32" s="3">
        <v>20</v>
      </c>
      <c r="I32" s="4">
        <v>38.29</v>
      </c>
      <c r="J32" s="5">
        <f t="shared" si="0"/>
        <v>765.8</v>
      </c>
      <c r="K32" s="6">
        <v>0.05</v>
      </c>
      <c r="L32" s="5">
        <f t="shared" si="1"/>
        <v>0</v>
      </c>
      <c r="M32" s="4">
        <v>24</v>
      </c>
      <c r="N32" s="5">
        <f t="shared" si="2"/>
        <v>0</v>
      </c>
      <c r="O32" s="5">
        <f t="shared" si="3"/>
        <v>0</v>
      </c>
      <c r="P32" s="2" t="s">
        <v>22</v>
      </c>
    </row>
    <row r="33" spans="1:16" x14ac:dyDescent="0.3">
      <c r="A33" s="2">
        <f t="shared" si="4"/>
        <v>20250032</v>
      </c>
      <c r="B33" s="25">
        <v>45660</v>
      </c>
      <c r="C33" s="2" t="s">
        <v>486</v>
      </c>
      <c r="D33" s="2" t="s">
        <v>28</v>
      </c>
      <c r="E33" s="20" t="s">
        <v>529</v>
      </c>
      <c r="F33" s="20" t="s">
        <v>55</v>
      </c>
      <c r="G33" s="2" t="s">
        <v>18</v>
      </c>
      <c r="H33" s="3">
        <v>2</v>
      </c>
      <c r="I33" s="4">
        <v>8.81</v>
      </c>
      <c r="J33" s="5">
        <f t="shared" si="0"/>
        <v>17.62</v>
      </c>
      <c r="K33" s="6">
        <v>0.12</v>
      </c>
      <c r="L33" s="5">
        <f t="shared" si="1"/>
        <v>15.505600000000001</v>
      </c>
      <c r="M33" s="4">
        <v>1</v>
      </c>
      <c r="N33" s="5">
        <f t="shared" si="2"/>
        <v>2</v>
      </c>
      <c r="O33" s="5">
        <f t="shared" si="3"/>
        <v>13.505600000000001</v>
      </c>
      <c r="P33" s="2" t="s">
        <v>19</v>
      </c>
    </row>
    <row r="34" spans="1:16" x14ac:dyDescent="0.3">
      <c r="A34" s="2">
        <f t="shared" si="4"/>
        <v>20250033</v>
      </c>
      <c r="B34" s="25">
        <v>45660</v>
      </c>
      <c r="C34" s="2" t="s">
        <v>486</v>
      </c>
      <c r="D34" s="2" t="s">
        <v>24</v>
      </c>
      <c r="E34" s="20" t="s">
        <v>530</v>
      </c>
      <c r="F34" s="20" t="s">
        <v>56</v>
      </c>
      <c r="G34" s="2" t="s">
        <v>32</v>
      </c>
      <c r="H34" s="3">
        <v>18</v>
      </c>
      <c r="I34" s="4">
        <v>19.57</v>
      </c>
      <c r="J34" s="5">
        <f t="shared" si="0"/>
        <v>352.26</v>
      </c>
      <c r="K34" s="6">
        <v>0</v>
      </c>
      <c r="L34" s="5">
        <f t="shared" si="1"/>
        <v>352.26</v>
      </c>
      <c r="M34" s="4">
        <v>9.5</v>
      </c>
      <c r="N34" s="5">
        <f t="shared" si="2"/>
        <v>171</v>
      </c>
      <c r="O34" s="5">
        <f t="shared" si="3"/>
        <v>181.26</v>
      </c>
      <c r="P34" s="2" t="s">
        <v>19</v>
      </c>
    </row>
    <row r="35" spans="1:16" x14ac:dyDescent="0.3">
      <c r="A35" s="2">
        <f t="shared" si="4"/>
        <v>20250034</v>
      </c>
      <c r="B35" s="25">
        <v>45660</v>
      </c>
      <c r="C35" s="2" t="s">
        <v>486</v>
      </c>
      <c r="D35" s="2" t="s">
        <v>28</v>
      </c>
      <c r="E35" s="20" t="s">
        <v>531</v>
      </c>
      <c r="F35" s="20" t="s">
        <v>57</v>
      </c>
      <c r="G35" s="2" t="s">
        <v>32</v>
      </c>
      <c r="H35" s="3">
        <v>19</v>
      </c>
      <c r="I35" s="4">
        <v>17.53</v>
      </c>
      <c r="J35" s="5">
        <f t="shared" si="0"/>
        <v>333.07000000000005</v>
      </c>
      <c r="K35" s="6">
        <v>0.12</v>
      </c>
      <c r="L35" s="5">
        <f t="shared" si="1"/>
        <v>0</v>
      </c>
      <c r="M35" s="4">
        <v>9.5</v>
      </c>
      <c r="N35" s="5">
        <f t="shared" si="2"/>
        <v>0</v>
      </c>
      <c r="O35" s="5">
        <f t="shared" si="3"/>
        <v>0</v>
      </c>
      <c r="P35" s="2" t="s">
        <v>22</v>
      </c>
    </row>
    <row r="36" spans="1:16" x14ac:dyDescent="0.3">
      <c r="A36" s="2">
        <f t="shared" si="4"/>
        <v>20250035</v>
      </c>
      <c r="B36" s="25">
        <v>45660</v>
      </c>
      <c r="C36" s="2" t="s">
        <v>486</v>
      </c>
      <c r="D36" s="2" t="s">
        <v>24</v>
      </c>
      <c r="E36" s="20" t="s">
        <v>532</v>
      </c>
      <c r="F36" s="20" t="s">
        <v>58</v>
      </c>
      <c r="G36" s="2" t="s">
        <v>21</v>
      </c>
      <c r="H36" s="3">
        <v>22</v>
      </c>
      <c r="I36" s="4">
        <v>27.81</v>
      </c>
      <c r="J36" s="5">
        <f t="shared" si="0"/>
        <v>611.81999999999994</v>
      </c>
      <c r="K36" s="6">
        <v>0.03</v>
      </c>
      <c r="L36" s="5">
        <f t="shared" si="1"/>
        <v>593.46539999999993</v>
      </c>
      <c r="M36" s="4">
        <v>15</v>
      </c>
      <c r="N36" s="5">
        <f t="shared" si="2"/>
        <v>330</v>
      </c>
      <c r="O36" s="5">
        <f t="shared" si="3"/>
        <v>263.46539999999993</v>
      </c>
      <c r="P36" s="2" t="s">
        <v>19</v>
      </c>
    </row>
    <row r="37" spans="1:16" x14ac:dyDescent="0.3">
      <c r="A37" s="2">
        <f t="shared" si="4"/>
        <v>20250036</v>
      </c>
      <c r="B37" s="25">
        <v>45660</v>
      </c>
      <c r="C37" s="2" t="s">
        <v>486</v>
      </c>
      <c r="D37" s="2" t="s">
        <v>16</v>
      </c>
      <c r="E37" s="20" t="s">
        <v>533</v>
      </c>
      <c r="F37" s="20" t="s">
        <v>59</v>
      </c>
      <c r="G37" s="2" t="s">
        <v>32</v>
      </c>
      <c r="H37" s="3">
        <v>6</v>
      </c>
      <c r="I37" s="4">
        <v>20.52</v>
      </c>
      <c r="J37" s="5">
        <f t="shared" si="0"/>
        <v>123.12</v>
      </c>
      <c r="K37" s="6">
        <v>0.02</v>
      </c>
      <c r="L37" s="5">
        <f t="shared" si="1"/>
        <v>120.6576</v>
      </c>
      <c r="M37" s="4">
        <v>9.5</v>
      </c>
      <c r="N37" s="5">
        <f t="shared" si="2"/>
        <v>57</v>
      </c>
      <c r="O37" s="5">
        <f t="shared" si="3"/>
        <v>63.657600000000002</v>
      </c>
      <c r="P37" s="2" t="s">
        <v>19</v>
      </c>
    </row>
    <row r="38" spans="1:16" x14ac:dyDescent="0.3">
      <c r="A38" s="2">
        <f t="shared" si="4"/>
        <v>20250037</v>
      </c>
      <c r="B38" s="25">
        <v>45660</v>
      </c>
      <c r="C38" s="2" t="s">
        <v>486</v>
      </c>
      <c r="D38" s="2" t="s">
        <v>24</v>
      </c>
      <c r="E38" s="20" t="s">
        <v>534</v>
      </c>
      <c r="F38" s="20" t="s">
        <v>60</v>
      </c>
      <c r="G38" s="2" t="s">
        <v>32</v>
      </c>
      <c r="H38" s="3">
        <v>13</v>
      </c>
      <c r="I38" s="4">
        <v>23.3</v>
      </c>
      <c r="J38" s="5">
        <f t="shared" si="0"/>
        <v>302.90000000000003</v>
      </c>
      <c r="K38" s="6">
        <v>0.03</v>
      </c>
      <c r="L38" s="5">
        <f t="shared" si="1"/>
        <v>0</v>
      </c>
      <c r="M38" s="4">
        <v>9.5</v>
      </c>
      <c r="N38" s="5">
        <f t="shared" si="2"/>
        <v>0</v>
      </c>
      <c r="O38" s="5">
        <f t="shared" si="3"/>
        <v>0</v>
      </c>
      <c r="P38" s="2" t="s">
        <v>22</v>
      </c>
    </row>
    <row r="39" spans="1:16" x14ac:dyDescent="0.3">
      <c r="A39" s="2">
        <f t="shared" si="4"/>
        <v>20250038</v>
      </c>
      <c r="B39" s="25">
        <v>45660</v>
      </c>
      <c r="C39" s="2" t="s">
        <v>486</v>
      </c>
      <c r="D39" s="2" t="s">
        <v>24</v>
      </c>
      <c r="E39" s="20" t="s">
        <v>925</v>
      </c>
      <c r="F39" s="20" t="s">
        <v>61</v>
      </c>
      <c r="G39" s="2" t="s">
        <v>18</v>
      </c>
      <c r="H39" s="3">
        <v>1</v>
      </c>
      <c r="I39" s="4">
        <v>9.73</v>
      </c>
      <c r="J39" s="5">
        <f t="shared" si="0"/>
        <v>9.73</v>
      </c>
      <c r="K39" s="6">
        <v>0.03</v>
      </c>
      <c r="L39" s="5">
        <f t="shared" si="1"/>
        <v>9.4381000000000004</v>
      </c>
      <c r="M39" s="4">
        <v>1</v>
      </c>
      <c r="N39" s="5">
        <f t="shared" si="2"/>
        <v>1</v>
      </c>
      <c r="O39" s="5">
        <f t="shared" si="3"/>
        <v>8.4381000000000004</v>
      </c>
      <c r="P39" s="2" t="s">
        <v>19</v>
      </c>
    </row>
    <row r="40" spans="1:16" x14ac:dyDescent="0.3">
      <c r="A40" s="2">
        <f t="shared" si="4"/>
        <v>20250039</v>
      </c>
      <c r="B40" s="25">
        <v>45660</v>
      </c>
      <c r="C40" s="2" t="s">
        <v>486</v>
      </c>
      <c r="D40" s="2" t="s">
        <v>24</v>
      </c>
      <c r="E40" s="20" t="s">
        <v>535</v>
      </c>
      <c r="F40" s="20" t="s">
        <v>62</v>
      </c>
      <c r="G40" s="2" t="s">
        <v>18</v>
      </c>
      <c r="H40" s="3">
        <v>1</v>
      </c>
      <c r="I40" s="4">
        <v>8.8699999999999992</v>
      </c>
      <c r="J40" s="5">
        <f t="shared" si="0"/>
        <v>8.8699999999999992</v>
      </c>
      <c r="K40" s="6">
        <v>0.05</v>
      </c>
      <c r="L40" s="5">
        <f t="shared" si="1"/>
        <v>0</v>
      </c>
      <c r="M40" s="4">
        <v>1</v>
      </c>
      <c r="N40" s="5">
        <f t="shared" si="2"/>
        <v>0</v>
      </c>
      <c r="O40" s="5">
        <f t="shared" si="3"/>
        <v>0</v>
      </c>
      <c r="P40" s="2" t="s">
        <v>22</v>
      </c>
    </row>
    <row r="41" spans="1:16" x14ac:dyDescent="0.3">
      <c r="A41" s="2">
        <f t="shared" si="4"/>
        <v>20250040</v>
      </c>
      <c r="B41" s="25">
        <v>45660</v>
      </c>
      <c r="C41" s="2" t="s">
        <v>486</v>
      </c>
      <c r="D41" s="2" t="s">
        <v>16</v>
      </c>
      <c r="E41" s="20" t="s">
        <v>536</v>
      </c>
      <c r="F41" s="20" t="s">
        <v>926</v>
      </c>
      <c r="G41" s="2" t="s">
        <v>21</v>
      </c>
      <c r="H41" s="3">
        <v>24</v>
      </c>
      <c r="I41" s="4">
        <v>29.84</v>
      </c>
      <c r="J41" s="5">
        <f t="shared" si="0"/>
        <v>716.16</v>
      </c>
      <c r="K41" s="6">
        <v>7.0000000000000007E-2</v>
      </c>
      <c r="L41" s="5">
        <f t="shared" si="1"/>
        <v>666.02879999999993</v>
      </c>
      <c r="M41" s="4">
        <v>15</v>
      </c>
      <c r="N41" s="5">
        <f t="shared" si="2"/>
        <v>360</v>
      </c>
      <c r="O41" s="5">
        <f t="shared" si="3"/>
        <v>306.02879999999993</v>
      </c>
      <c r="P41" s="2" t="s">
        <v>19</v>
      </c>
    </row>
    <row r="42" spans="1:16" x14ac:dyDescent="0.3">
      <c r="A42" s="2">
        <f t="shared" si="4"/>
        <v>20250041</v>
      </c>
      <c r="B42" s="25">
        <v>45660</v>
      </c>
      <c r="C42" s="2" t="s">
        <v>486</v>
      </c>
      <c r="D42" s="2" t="s">
        <v>28</v>
      </c>
      <c r="E42" s="20" t="s">
        <v>537</v>
      </c>
      <c r="F42" s="20" t="s">
        <v>63</v>
      </c>
      <c r="G42" s="2" t="s">
        <v>43</v>
      </c>
      <c r="H42" s="3">
        <v>2</v>
      </c>
      <c r="I42" s="4">
        <v>17.989999999999998</v>
      </c>
      <c r="J42" s="5">
        <f t="shared" si="0"/>
        <v>35.979999999999997</v>
      </c>
      <c r="K42" s="6">
        <v>0.05</v>
      </c>
      <c r="L42" s="5">
        <f t="shared" si="1"/>
        <v>34.180999999999997</v>
      </c>
      <c r="M42" s="4">
        <v>3</v>
      </c>
      <c r="N42" s="5">
        <f t="shared" si="2"/>
        <v>6</v>
      </c>
      <c r="O42" s="5">
        <f t="shared" si="3"/>
        <v>28.180999999999997</v>
      </c>
      <c r="P42" s="2" t="s">
        <v>19</v>
      </c>
    </row>
    <row r="43" spans="1:16" x14ac:dyDescent="0.3">
      <c r="A43" s="2">
        <f t="shared" si="4"/>
        <v>20250042</v>
      </c>
      <c r="B43" s="25">
        <v>45660</v>
      </c>
      <c r="C43" s="2" t="s">
        <v>486</v>
      </c>
      <c r="D43" s="2" t="s">
        <v>24</v>
      </c>
      <c r="E43" s="20" t="s">
        <v>927</v>
      </c>
      <c r="F43" s="20" t="s">
        <v>64</v>
      </c>
      <c r="G43" s="2" t="s">
        <v>32</v>
      </c>
      <c r="H43" s="3">
        <v>22</v>
      </c>
      <c r="I43" s="4">
        <v>23.13</v>
      </c>
      <c r="J43" s="5">
        <f t="shared" si="0"/>
        <v>508.85999999999996</v>
      </c>
      <c r="K43" s="6">
        <v>0.02</v>
      </c>
      <c r="L43" s="5">
        <f t="shared" si="1"/>
        <v>498.68279999999993</v>
      </c>
      <c r="M43" s="4">
        <v>9.5</v>
      </c>
      <c r="N43" s="5">
        <f t="shared" si="2"/>
        <v>209</v>
      </c>
      <c r="O43" s="5">
        <f t="shared" si="3"/>
        <v>289.68279999999993</v>
      </c>
      <c r="P43" s="2" t="s">
        <v>19</v>
      </c>
    </row>
    <row r="44" spans="1:16" x14ac:dyDescent="0.3">
      <c r="A44" s="2">
        <f t="shared" si="4"/>
        <v>20250043</v>
      </c>
      <c r="B44" s="25">
        <v>45660</v>
      </c>
      <c r="C44" s="2" t="s">
        <v>486</v>
      </c>
      <c r="D44" s="2" t="s">
        <v>24</v>
      </c>
      <c r="E44" s="20" t="s">
        <v>538</v>
      </c>
      <c r="F44" s="20" t="s">
        <v>65</v>
      </c>
      <c r="G44" s="2" t="s">
        <v>27</v>
      </c>
      <c r="H44" s="3">
        <v>13</v>
      </c>
      <c r="I44" s="4">
        <v>49.55</v>
      </c>
      <c r="J44" s="5">
        <f t="shared" si="0"/>
        <v>644.15</v>
      </c>
      <c r="K44" s="6">
        <v>0.03</v>
      </c>
      <c r="L44" s="5">
        <f t="shared" si="1"/>
        <v>0</v>
      </c>
      <c r="M44" s="4">
        <v>24</v>
      </c>
      <c r="N44" s="5">
        <f t="shared" si="2"/>
        <v>0</v>
      </c>
      <c r="O44" s="5">
        <f t="shared" si="3"/>
        <v>0</v>
      </c>
      <c r="P44" s="2" t="s">
        <v>22</v>
      </c>
    </row>
    <row r="45" spans="1:16" x14ac:dyDescent="0.3">
      <c r="A45" s="2">
        <f t="shared" si="4"/>
        <v>20250044</v>
      </c>
      <c r="B45" s="25">
        <v>45660</v>
      </c>
      <c r="C45" s="2" t="s">
        <v>486</v>
      </c>
      <c r="D45" s="2" t="s">
        <v>28</v>
      </c>
      <c r="E45" s="20" t="s">
        <v>539</v>
      </c>
      <c r="F45" s="20" t="s">
        <v>66</v>
      </c>
      <c r="G45" s="2" t="s">
        <v>32</v>
      </c>
      <c r="H45" s="3">
        <v>18</v>
      </c>
      <c r="I45" s="4">
        <v>17.62</v>
      </c>
      <c r="J45" s="5">
        <f t="shared" si="0"/>
        <v>317.16000000000003</v>
      </c>
      <c r="K45" s="6">
        <v>0.1</v>
      </c>
      <c r="L45" s="5">
        <f t="shared" si="1"/>
        <v>285.44400000000002</v>
      </c>
      <c r="M45" s="4">
        <v>9.5</v>
      </c>
      <c r="N45" s="5">
        <f t="shared" si="2"/>
        <v>171</v>
      </c>
      <c r="O45" s="5">
        <f t="shared" si="3"/>
        <v>114.44400000000002</v>
      </c>
      <c r="P45" s="2" t="s">
        <v>19</v>
      </c>
    </row>
    <row r="46" spans="1:16" x14ac:dyDescent="0.3">
      <c r="A46" s="2">
        <f t="shared" si="4"/>
        <v>20250045</v>
      </c>
      <c r="B46" s="25">
        <v>45660</v>
      </c>
      <c r="C46" s="2" t="s">
        <v>486</v>
      </c>
      <c r="D46" s="2" t="s">
        <v>28</v>
      </c>
      <c r="E46" s="20" t="s">
        <v>540</v>
      </c>
      <c r="F46" s="20" t="s">
        <v>67</v>
      </c>
      <c r="G46" s="2" t="s">
        <v>27</v>
      </c>
      <c r="H46" s="3">
        <v>15</v>
      </c>
      <c r="I46" s="4">
        <v>39.99</v>
      </c>
      <c r="J46" s="5">
        <f t="shared" si="0"/>
        <v>599.85</v>
      </c>
      <c r="K46" s="6">
        <v>0.08</v>
      </c>
      <c r="L46" s="5">
        <f t="shared" si="1"/>
        <v>551.86200000000008</v>
      </c>
      <c r="M46" s="4">
        <v>24</v>
      </c>
      <c r="N46" s="5">
        <f t="shared" si="2"/>
        <v>360</v>
      </c>
      <c r="O46" s="5">
        <f t="shared" si="3"/>
        <v>191.86200000000008</v>
      </c>
      <c r="P46" s="2" t="s">
        <v>19</v>
      </c>
    </row>
    <row r="47" spans="1:16" x14ac:dyDescent="0.3">
      <c r="A47" s="2">
        <f t="shared" si="4"/>
        <v>20250046</v>
      </c>
      <c r="B47" s="25">
        <v>45660</v>
      </c>
      <c r="C47" s="2" t="s">
        <v>486</v>
      </c>
      <c r="D47" s="2" t="s">
        <v>16</v>
      </c>
      <c r="E47" s="20" t="s">
        <v>541</v>
      </c>
      <c r="F47" s="20" t="s">
        <v>68</v>
      </c>
      <c r="G47" s="2" t="s">
        <v>32</v>
      </c>
      <c r="H47" s="3">
        <v>3</v>
      </c>
      <c r="I47" s="4">
        <v>19.09</v>
      </c>
      <c r="J47" s="5">
        <f t="shared" si="0"/>
        <v>57.269999999999996</v>
      </c>
      <c r="K47" s="6">
        <v>0.03</v>
      </c>
      <c r="L47" s="5">
        <f t="shared" si="1"/>
        <v>55.551899999999996</v>
      </c>
      <c r="M47" s="4">
        <v>9.5</v>
      </c>
      <c r="N47" s="5">
        <f t="shared" si="2"/>
        <v>28.5</v>
      </c>
      <c r="O47" s="5">
        <f t="shared" si="3"/>
        <v>27.051899999999996</v>
      </c>
      <c r="P47" s="2" t="s">
        <v>19</v>
      </c>
    </row>
    <row r="48" spans="1:16" x14ac:dyDescent="0.3">
      <c r="A48" s="2">
        <f t="shared" si="4"/>
        <v>20250047</v>
      </c>
      <c r="B48" s="25">
        <v>45660</v>
      </c>
      <c r="C48" s="2" t="s">
        <v>486</v>
      </c>
      <c r="D48" s="2" t="s">
        <v>16</v>
      </c>
      <c r="E48" s="20" t="s">
        <v>542</v>
      </c>
      <c r="F48" s="20" t="s">
        <v>69</v>
      </c>
      <c r="G48" s="2" t="s">
        <v>32</v>
      </c>
      <c r="H48" s="3">
        <v>16</v>
      </c>
      <c r="I48" s="4">
        <v>20.09</v>
      </c>
      <c r="J48" s="5">
        <f t="shared" si="0"/>
        <v>321.44</v>
      </c>
      <c r="K48" s="6">
        <v>0</v>
      </c>
      <c r="L48" s="5">
        <f t="shared" si="1"/>
        <v>321.44</v>
      </c>
      <c r="M48" s="4">
        <v>9.5</v>
      </c>
      <c r="N48" s="5">
        <f t="shared" si="2"/>
        <v>152</v>
      </c>
      <c r="O48" s="5">
        <f t="shared" si="3"/>
        <v>169.44</v>
      </c>
      <c r="P48" s="2" t="s">
        <v>19</v>
      </c>
    </row>
    <row r="49" spans="1:16" x14ac:dyDescent="0.3">
      <c r="A49" s="2">
        <f t="shared" si="4"/>
        <v>20250048</v>
      </c>
      <c r="B49" s="25">
        <v>45660</v>
      </c>
      <c r="C49" s="2" t="s">
        <v>486</v>
      </c>
      <c r="D49" s="2" t="s">
        <v>16</v>
      </c>
      <c r="E49" s="20" t="s">
        <v>543</v>
      </c>
      <c r="F49" s="20" t="s">
        <v>70</v>
      </c>
      <c r="G49" s="2" t="s">
        <v>27</v>
      </c>
      <c r="H49" s="3">
        <v>13</v>
      </c>
      <c r="I49" s="4">
        <v>43.8</v>
      </c>
      <c r="J49" s="5">
        <f t="shared" si="0"/>
        <v>569.4</v>
      </c>
      <c r="K49" s="6">
        <v>0</v>
      </c>
      <c r="L49" s="5">
        <f t="shared" si="1"/>
        <v>569.4</v>
      </c>
      <c r="M49" s="4">
        <v>24</v>
      </c>
      <c r="N49" s="5">
        <f t="shared" si="2"/>
        <v>312</v>
      </c>
      <c r="O49" s="5">
        <f t="shared" si="3"/>
        <v>257.39999999999998</v>
      </c>
      <c r="P49" s="2" t="s">
        <v>19</v>
      </c>
    </row>
    <row r="50" spans="1:16" x14ac:dyDescent="0.3">
      <c r="A50" s="2">
        <f t="shared" si="4"/>
        <v>20250049</v>
      </c>
      <c r="B50" s="25">
        <v>45661</v>
      </c>
      <c r="C50" s="2" t="s">
        <v>486</v>
      </c>
      <c r="D50" s="2" t="s">
        <v>28</v>
      </c>
      <c r="E50" s="20" t="s">
        <v>928</v>
      </c>
      <c r="F50" s="20" t="s">
        <v>71</v>
      </c>
      <c r="G50" s="2" t="s">
        <v>32</v>
      </c>
      <c r="H50" s="3">
        <v>18</v>
      </c>
      <c r="I50" s="4">
        <v>19.11</v>
      </c>
      <c r="J50" s="5">
        <f t="shared" si="0"/>
        <v>343.98</v>
      </c>
      <c r="K50" s="6">
        <v>0.05</v>
      </c>
      <c r="L50" s="5">
        <f t="shared" si="1"/>
        <v>326.78100000000001</v>
      </c>
      <c r="M50" s="4">
        <v>9.5</v>
      </c>
      <c r="N50" s="5">
        <f t="shared" si="2"/>
        <v>171</v>
      </c>
      <c r="O50" s="5">
        <f t="shared" si="3"/>
        <v>155.78100000000001</v>
      </c>
      <c r="P50" s="2" t="s">
        <v>19</v>
      </c>
    </row>
    <row r="51" spans="1:16" x14ac:dyDescent="0.3">
      <c r="A51" s="2">
        <f t="shared" si="4"/>
        <v>20250050</v>
      </c>
      <c r="B51" s="25">
        <v>45661</v>
      </c>
      <c r="C51" s="2" t="s">
        <v>486</v>
      </c>
      <c r="D51" s="2" t="s">
        <v>28</v>
      </c>
      <c r="E51" s="20" t="s">
        <v>544</v>
      </c>
      <c r="F51" s="20" t="s">
        <v>72</v>
      </c>
      <c r="G51" s="2" t="s">
        <v>27</v>
      </c>
      <c r="H51" s="3">
        <v>20</v>
      </c>
      <c r="I51" s="4">
        <v>38.08</v>
      </c>
      <c r="J51" s="5">
        <f t="shared" si="0"/>
        <v>761.59999999999991</v>
      </c>
      <c r="K51" s="6">
        <v>0.15</v>
      </c>
      <c r="L51" s="5">
        <f t="shared" si="1"/>
        <v>647.3599999999999</v>
      </c>
      <c r="M51" s="4">
        <v>24</v>
      </c>
      <c r="N51" s="5">
        <f t="shared" si="2"/>
        <v>480</v>
      </c>
      <c r="O51" s="5">
        <f t="shared" si="3"/>
        <v>167.3599999999999</v>
      </c>
      <c r="P51" s="2" t="s">
        <v>19</v>
      </c>
    </row>
    <row r="52" spans="1:16" x14ac:dyDescent="0.3">
      <c r="A52" s="2">
        <f t="shared" si="4"/>
        <v>20250051</v>
      </c>
      <c r="B52" s="25">
        <v>45661</v>
      </c>
      <c r="C52" s="2" t="s">
        <v>486</v>
      </c>
      <c r="D52" s="2" t="s">
        <v>16</v>
      </c>
      <c r="E52" s="20" t="s">
        <v>545</v>
      </c>
      <c r="F52" s="20" t="s">
        <v>73</v>
      </c>
      <c r="G52" s="2" t="s">
        <v>43</v>
      </c>
      <c r="H52" s="3">
        <v>9</v>
      </c>
      <c r="I52" s="4">
        <v>17.079999999999998</v>
      </c>
      <c r="J52" s="5">
        <f t="shared" si="0"/>
        <v>153.71999999999997</v>
      </c>
      <c r="K52" s="6">
        <v>0.05</v>
      </c>
      <c r="L52" s="5">
        <f t="shared" si="1"/>
        <v>146.03399999999996</v>
      </c>
      <c r="M52" s="4">
        <v>3</v>
      </c>
      <c r="N52" s="5">
        <f t="shared" si="2"/>
        <v>27</v>
      </c>
      <c r="O52" s="5">
        <f t="shared" si="3"/>
        <v>119.03399999999996</v>
      </c>
      <c r="P52" s="2" t="s">
        <v>19</v>
      </c>
    </row>
    <row r="53" spans="1:16" x14ac:dyDescent="0.3">
      <c r="A53" s="2">
        <f t="shared" si="4"/>
        <v>20250052</v>
      </c>
      <c r="B53" s="25">
        <v>45661</v>
      </c>
      <c r="C53" s="2" t="s">
        <v>486</v>
      </c>
      <c r="D53" s="2" t="s">
        <v>28</v>
      </c>
      <c r="E53" s="20" t="s">
        <v>546</v>
      </c>
      <c r="F53" s="20" t="s">
        <v>74</v>
      </c>
      <c r="G53" s="2" t="s">
        <v>18</v>
      </c>
      <c r="H53" s="3">
        <v>40</v>
      </c>
      <c r="I53" s="4">
        <v>8.7200000000000006</v>
      </c>
      <c r="J53" s="5">
        <f t="shared" si="0"/>
        <v>348.8</v>
      </c>
      <c r="K53" s="6">
        <v>0.1</v>
      </c>
      <c r="L53" s="5">
        <f t="shared" si="1"/>
        <v>313.92</v>
      </c>
      <c r="M53" s="4">
        <v>1</v>
      </c>
      <c r="N53" s="5">
        <f t="shared" si="2"/>
        <v>40</v>
      </c>
      <c r="O53" s="5">
        <f t="shared" si="3"/>
        <v>273.92</v>
      </c>
      <c r="P53" s="2" t="s">
        <v>19</v>
      </c>
    </row>
    <row r="54" spans="1:16" x14ac:dyDescent="0.3">
      <c r="A54" s="2">
        <f t="shared" si="4"/>
        <v>20250053</v>
      </c>
      <c r="B54" s="25">
        <v>45661</v>
      </c>
      <c r="C54" s="2" t="s">
        <v>486</v>
      </c>
      <c r="D54" s="2" t="s">
        <v>28</v>
      </c>
      <c r="E54" s="20" t="s">
        <v>547</v>
      </c>
      <c r="F54" s="20" t="s">
        <v>75</v>
      </c>
      <c r="G54" s="2" t="s">
        <v>18</v>
      </c>
      <c r="H54" s="3">
        <v>72</v>
      </c>
      <c r="I54" s="4">
        <v>8.19</v>
      </c>
      <c r="J54" s="5">
        <f t="shared" si="0"/>
        <v>589.67999999999995</v>
      </c>
      <c r="K54" s="6">
        <v>0.12</v>
      </c>
      <c r="L54" s="5">
        <f t="shared" si="1"/>
        <v>518.91839999999991</v>
      </c>
      <c r="M54" s="4">
        <v>1</v>
      </c>
      <c r="N54" s="5">
        <f t="shared" si="2"/>
        <v>72</v>
      </c>
      <c r="O54" s="5">
        <f t="shared" si="3"/>
        <v>446.91839999999991</v>
      </c>
      <c r="P54" s="2" t="s">
        <v>19</v>
      </c>
    </row>
    <row r="55" spans="1:16" x14ac:dyDescent="0.3">
      <c r="A55" s="2">
        <f t="shared" si="4"/>
        <v>20250054</v>
      </c>
      <c r="B55" s="25">
        <v>45661</v>
      </c>
      <c r="C55" s="2" t="s">
        <v>486</v>
      </c>
      <c r="D55" s="2" t="s">
        <v>16</v>
      </c>
      <c r="E55" s="20" t="s">
        <v>548</v>
      </c>
      <c r="F55" s="20" t="s">
        <v>76</v>
      </c>
      <c r="G55" s="2" t="s">
        <v>43</v>
      </c>
      <c r="H55" s="3">
        <v>20</v>
      </c>
      <c r="I55" s="4">
        <v>13.57</v>
      </c>
      <c r="J55" s="5">
        <f t="shared" si="0"/>
        <v>271.39999999999998</v>
      </c>
      <c r="K55" s="6">
        <v>0.03</v>
      </c>
      <c r="L55" s="5">
        <f t="shared" si="1"/>
        <v>263.25799999999998</v>
      </c>
      <c r="M55" s="4">
        <v>3</v>
      </c>
      <c r="N55" s="5">
        <f t="shared" si="2"/>
        <v>60</v>
      </c>
      <c r="O55" s="5">
        <f t="shared" si="3"/>
        <v>203.25799999999998</v>
      </c>
      <c r="P55" s="2" t="s">
        <v>19</v>
      </c>
    </row>
    <row r="56" spans="1:16" x14ac:dyDescent="0.3">
      <c r="A56" s="2">
        <f t="shared" si="4"/>
        <v>20250055</v>
      </c>
      <c r="B56" s="25">
        <v>45661</v>
      </c>
      <c r="C56" s="2" t="s">
        <v>486</v>
      </c>
      <c r="D56" s="2" t="s">
        <v>28</v>
      </c>
      <c r="E56" s="20" t="s">
        <v>549</v>
      </c>
      <c r="F56" s="20" t="s">
        <v>77</v>
      </c>
      <c r="G56" s="2" t="s">
        <v>21</v>
      </c>
      <c r="H56" s="3">
        <v>33</v>
      </c>
      <c r="I56" s="4">
        <v>27.81</v>
      </c>
      <c r="J56" s="5">
        <f t="shared" si="0"/>
        <v>917.7299999999999</v>
      </c>
      <c r="K56" s="6">
        <v>0.12</v>
      </c>
      <c r="L56" s="5">
        <f t="shared" si="1"/>
        <v>807.60239999999988</v>
      </c>
      <c r="M56" s="4">
        <v>15</v>
      </c>
      <c r="N56" s="5">
        <f t="shared" si="2"/>
        <v>495</v>
      </c>
      <c r="O56" s="5">
        <f t="shared" si="3"/>
        <v>312.60239999999988</v>
      </c>
      <c r="P56" s="2" t="s">
        <v>19</v>
      </c>
    </row>
    <row r="57" spans="1:16" x14ac:dyDescent="0.3">
      <c r="A57" s="2">
        <f t="shared" si="4"/>
        <v>20250056</v>
      </c>
      <c r="B57" s="25">
        <v>45661</v>
      </c>
      <c r="C57" s="2" t="s">
        <v>486</v>
      </c>
      <c r="D57" s="2" t="s">
        <v>28</v>
      </c>
      <c r="E57" s="20" t="s">
        <v>550</v>
      </c>
      <c r="F57" s="20" t="s">
        <v>78</v>
      </c>
      <c r="G57" s="2" t="s">
        <v>18</v>
      </c>
      <c r="H57" s="3">
        <v>42</v>
      </c>
      <c r="I57" s="4">
        <v>7.84</v>
      </c>
      <c r="J57" s="5">
        <f t="shared" si="0"/>
        <v>329.28</v>
      </c>
      <c r="K57" s="6">
        <v>0.12</v>
      </c>
      <c r="L57" s="5">
        <f t="shared" si="1"/>
        <v>289.76639999999998</v>
      </c>
      <c r="M57" s="4">
        <v>1</v>
      </c>
      <c r="N57" s="5">
        <f t="shared" si="2"/>
        <v>42</v>
      </c>
      <c r="O57" s="5">
        <f t="shared" si="3"/>
        <v>247.76639999999998</v>
      </c>
      <c r="P57" s="2" t="s">
        <v>19</v>
      </c>
    </row>
    <row r="58" spans="1:16" x14ac:dyDescent="0.3">
      <c r="A58" s="2">
        <f t="shared" si="4"/>
        <v>20250057</v>
      </c>
      <c r="B58" s="25">
        <v>45661</v>
      </c>
      <c r="C58" s="2" t="s">
        <v>486</v>
      </c>
      <c r="D58" s="2" t="s">
        <v>16</v>
      </c>
      <c r="E58" s="20" t="s">
        <v>551</v>
      </c>
      <c r="F58" s="20" t="s">
        <v>79</v>
      </c>
      <c r="G58" s="2" t="s">
        <v>18</v>
      </c>
      <c r="H58" s="3">
        <v>25</v>
      </c>
      <c r="I58" s="4">
        <v>9.89</v>
      </c>
      <c r="J58" s="5">
        <f t="shared" si="0"/>
        <v>247.25</v>
      </c>
      <c r="K58" s="6">
        <v>0</v>
      </c>
      <c r="L58" s="5">
        <f t="shared" si="1"/>
        <v>0</v>
      </c>
      <c r="M58" s="4">
        <v>1</v>
      </c>
      <c r="N58" s="5">
        <f t="shared" si="2"/>
        <v>0</v>
      </c>
      <c r="O58" s="5">
        <f t="shared" si="3"/>
        <v>0</v>
      </c>
      <c r="P58" s="2" t="s">
        <v>22</v>
      </c>
    </row>
    <row r="59" spans="1:16" x14ac:dyDescent="0.3">
      <c r="A59" s="2">
        <f t="shared" si="4"/>
        <v>20250058</v>
      </c>
      <c r="B59" s="25">
        <v>45661</v>
      </c>
      <c r="C59" s="2" t="s">
        <v>486</v>
      </c>
      <c r="D59" s="2" t="s">
        <v>16</v>
      </c>
      <c r="E59" s="20" t="s">
        <v>552</v>
      </c>
      <c r="F59" s="20" t="s">
        <v>80</v>
      </c>
      <c r="G59" s="2" t="s">
        <v>32</v>
      </c>
      <c r="H59" s="3">
        <v>22</v>
      </c>
      <c r="I59" s="4">
        <v>22.54</v>
      </c>
      <c r="J59" s="5">
        <f t="shared" si="0"/>
        <v>495.88</v>
      </c>
      <c r="K59" s="6">
        <v>0.03</v>
      </c>
      <c r="L59" s="5">
        <f t="shared" si="1"/>
        <v>481.00360000000001</v>
      </c>
      <c r="M59" s="4">
        <v>9.5</v>
      </c>
      <c r="N59" s="5">
        <f t="shared" si="2"/>
        <v>209</v>
      </c>
      <c r="O59" s="5">
        <f t="shared" si="3"/>
        <v>272.00360000000001</v>
      </c>
      <c r="P59" s="2" t="s">
        <v>19</v>
      </c>
    </row>
    <row r="60" spans="1:16" x14ac:dyDescent="0.3">
      <c r="A60" s="2">
        <f t="shared" si="4"/>
        <v>20250059</v>
      </c>
      <c r="B60" s="25">
        <v>45661</v>
      </c>
      <c r="C60" s="2" t="s">
        <v>486</v>
      </c>
      <c r="D60" s="2" t="s">
        <v>16</v>
      </c>
      <c r="E60" s="20" t="s">
        <v>553</v>
      </c>
      <c r="F60" s="20" t="s">
        <v>81</v>
      </c>
      <c r="G60" s="2" t="s">
        <v>18</v>
      </c>
      <c r="H60" s="3">
        <v>10</v>
      </c>
      <c r="I60" s="4">
        <v>9.76</v>
      </c>
      <c r="J60" s="5">
        <f t="shared" si="0"/>
        <v>97.6</v>
      </c>
      <c r="K60" s="6">
        <v>0</v>
      </c>
      <c r="L60" s="5">
        <f t="shared" si="1"/>
        <v>97.6</v>
      </c>
      <c r="M60" s="4">
        <v>1</v>
      </c>
      <c r="N60" s="5">
        <f t="shared" si="2"/>
        <v>10</v>
      </c>
      <c r="O60" s="5">
        <f t="shared" si="3"/>
        <v>87.6</v>
      </c>
      <c r="P60" s="2" t="s">
        <v>19</v>
      </c>
    </row>
    <row r="61" spans="1:16" x14ac:dyDescent="0.3">
      <c r="A61" s="2">
        <f t="shared" si="4"/>
        <v>20250060</v>
      </c>
      <c r="B61" s="25">
        <v>45661</v>
      </c>
      <c r="C61" s="2" t="s">
        <v>486</v>
      </c>
      <c r="D61" s="2" t="s">
        <v>16</v>
      </c>
      <c r="E61" s="20" t="s">
        <v>554</v>
      </c>
      <c r="F61" s="20" t="s">
        <v>82</v>
      </c>
      <c r="G61" s="2" t="s">
        <v>43</v>
      </c>
      <c r="H61" s="3">
        <v>4</v>
      </c>
      <c r="I61" s="4">
        <v>16.55</v>
      </c>
      <c r="J61" s="5">
        <f t="shared" si="0"/>
        <v>66.2</v>
      </c>
      <c r="K61" s="6">
        <v>0.02</v>
      </c>
      <c r="L61" s="5">
        <f t="shared" si="1"/>
        <v>64.876000000000005</v>
      </c>
      <c r="M61" s="4">
        <v>3</v>
      </c>
      <c r="N61" s="5">
        <f t="shared" si="2"/>
        <v>12</v>
      </c>
      <c r="O61" s="5">
        <f t="shared" si="3"/>
        <v>52.876000000000005</v>
      </c>
      <c r="P61" s="2" t="s">
        <v>19</v>
      </c>
    </row>
    <row r="62" spans="1:16" x14ac:dyDescent="0.3">
      <c r="A62" s="2">
        <f t="shared" si="4"/>
        <v>20250061</v>
      </c>
      <c r="B62" s="25">
        <v>45661</v>
      </c>
      <c r="C62" s="2" t="s">
        <v>486</v>
      </c>
      <c r="D62" s="2" t="s">
        <v>16</v>
      </c>
      <c r="E62" s="20" t="s">
        <v>555</v>
      </c>
      <c r="F62" s="20" t="s">
        <v>83</v>
      </c>
      <c r="G62" s="2" t="s">
        <v>27</v>
      </c>
      <c r="H62" s="3">
        <v>22</v>
      </c>
      <c r="I62" s="4">
        <v>46.51</v>
      </c>
      <c r="J62" s="5">
        <f t="shared" ref="J62:J123" si="5">H62*I62</f>
        <v>1023.2199999999999</v>
      </c>
      <c r="K62" s="6">
        <v>0.05</v>
      </c>
      <c r="L62" s="5">
        <f t="shared" ref="L62:L123" si="6">IF(P62="Returned",0,J62*(1-K62))</f>
        <v>972.05899999999986</v>
      </c>
      <c r="M62" s="4">
        <v>24</v>
      </c>
      <c r="N62" s="5">
        <f t="shared" ref="N62:N123" si="7">IF(P62="Returned",0,H62*M62)</f>
        <v>528</v>
      </c>
      <c r="O62" s="5">
        <f t="shared" ref="O62:O123" si="8">L62-N62</f>
        <v>444.05899999999986</v>
      </c>
      <c r="P62" s="2" t="s">
        <v>19</v>
      </c>
    </row>
    <row r="63" spans="1:16" x14ac:dyDescent="0.3">
      <c r="A63" s="2">
        <f t="shared" si="4"/>
        <v>20250062</v>
      </c>
      <c r="B63" s="25">
        <v>45661</v>
      </c>
      <c r="C63" s="2" t="s">
        <v>486</v>
      </c>
      <c r="D63" s="2" t="s">
        <v>24</v>
      </c>
      <c r="E63" s="20" t="s">
        <v>556</v>
      </c>
      <c r="F63" s="20" t="s">
        <v>84</v>
      </c>
      <c r="G63" s="2" t="s">
        <v>21</v>
      </c>
      <c r="H63" s="3">
        <v>25</v>
      </c>
      <c r="I63" s="4">
        <v>32.619999999999997</v>
      </c>
      <c r="J63" s="5">
        <f t="shared" si="5"/>
        <v>815.49999999999989</v>
      </c>
      <c r="K63" s="6">
        <v>0.03</v>
      </c>
      <c r="L63" s="5">
        <f t="shared" si="6"/>
        <v>791.03499999999985</v>
      </c>
      <c r="M63" s="4">
        <v>15</v>
      </c>
      <c r="N63" s="5">
        <f t="shared" si="7"/>
        <v>375</v>
      </c>
      <c r="O63" s="5">
        <f t="shared" si="8"/>
        <v>416.03499999999985</v>
      </c>
      <c r="P63" s="2" t="s">
        <v>19</v>
      </c>
    </row>
    <row r="64" spans="1:16" x14ac:dyDescent="0.3">
      <c r="A64" s="2">
        <f t="shared" si="4"/>
        <v>20250063</v>
      </c>
      <c r="B64" s="25">
        <v>45661</v>
      </c>
      <c r="C64" s="2" t="s">
        <v>486</v>
      </c>
      <c r="D64" s="2" t="s">
        <v>16</v>
      </c>
      <c r="E64" s="20" t="s">
        <v>557</v>
      </c>
      <c r="F64" s="20" t="s">
        <v>85</v>
      </c>
      <c r="G64" s="2" t="s">
        <v>18</v>
      </c>
      <c r="H64" s="3">
        <v>12</v>
      </c>
      <c r="I64" s="4">
        <v>8.27</v>
      </c>
      <c r="J64" s="5">
        <f t="shared" si="5"/>
        <v>99.24</v>
      </c>
      <c r="K64" s="6">
        <v>0.02</v>
      </c>
      <c r="L64" s="5">
        <f t="shared" si="6"/>
        <v>97.255199999999988</v>
      </c>
      <c r="M64" s="4">
        <v>1</v>
      </c>
      <c r="N64" s="5">
        <f t="shared" si="7"/>
        <v>12</v>
      </c>
      <c r="O64" s="5">
        <f t="shared" si="8"/>
        <v>85.255199999999988</v>
      </c>
      <c r="P64" s="2" t="s">
        <v>19</v>
      </c>
    </row>
    <row r="65" spans="1:16" x14ac:dyDescent="0.3">
      <c r="A65" s="2">
        <f t="shared" si="4"/>
        <v>20250064</v>
      </c>
      <c r="B65" s="25">
        <v>45661</v>
      </c>
      <c r="C65" s="2" t="s">
        <v>486</v>
      </c>
      <c r="D65" s="2" t="s">
        <v>28</v>
      </c>
      <c r="E65" s="20" t="s">
        <v>558</v>
      </c>
      <c r="F65" s="20" t="s">
        <v>86</v>
      </c>
      <c r="G65" s="2" t="s">
        <v>18</v>
      </c>
      <c r="H65" s="3">
        <v>3</v>
      </c>
      <c r="I65" s="4">
        <v>10.119999999999999</v>
      </c>
      <c r="J65" s="5">
        <f t="shared" si="5"/>
        <v>30.36</v>
      </c>
      <c r="K65" s="6">
        <v>0.12</v>
      </c>
      <c r="L65" s="5">
        <f t="shared" si="6"/>
        <v>26.716799999999999</v>
      </c>
      <c r="M65" s="4">
        <v>1</v>
      </c>
      <c r="N65" s="5">
        <f t="shared" si="7"/>
        <v>3</v>
      </c>
      <c r="O65" s="5">
        <f t="shared" si="8"/>
        <v>23.716799999999999</v>
      </c>
      <c r="P65" s="2" t="s">
        <v>19</v>
      </c>
    </row>
    <row r="66" spans="1:16" x14ac:dyDescent="0.3">
      <c r="A66" s="2">
        <f t="shared" si="4"/>
        <v>20250065</v>
      </c>
      <c r="B66" s="25">
        <v>45661</v>
      </c>
      <c r="C66" s="2" t="s">
        <v>486</v>
      </c>
      <c r="D66" s="2" t="s">
        <v>28</v>
      </c>
      <c r="E66" s="20" t="s">
        <v>559</v>
      </c>
      <c r="F66" s="20" t="s">
        <v>87</v>
      </c>
      <c r="G66" s="2" t="s">
        <v>43</v>
      </c>
      <c r="H66" s="3">
        <v>21</v>
      </c>
      <c r="I66" s="4">
        <v>13.97</v>
      </c>
      <c r="J66" s="5">
        <f t="shared" si="5"/>
        <v>293.37</v>
      </c>
      <c r="K66" s="6">
        <v>0.12</v>
      </c>
      <c r="L66" s="5">
        <f t="shared" si="6"/>
        <v>0</v>
      </c>
      <c r="M66" s="4">
        <v>3</v>
      </c>
      <c r="N66" s="5">
        <f t="shared" si="7"/>
        <v>0</v>
      </c>
      <c r="O66" s="5">
        <f t="shared" si="8"/>
        <v>0</v>
      </c>
      <c r="P66" s="2" t="s">
        <v>22</v>
      </c>
    </row>
    <row r="67" spans="1:16" x14ac:dyDescent="0.3">
      <c r="A67" s="2">
        <f t="shared" si="4"/>
        <v>20250066</v>
      </c>
      <c r="B67" s="25">
        <v>45661</v>
      </c>
      <c r="C67" s="2" t="s">
        <v>486</v>
      </c>
      <c r="D67" s="2" t="s">
        <v>28</v>
      </c>
      <c r="E67" s="20" t="s">
        <v>560</v>
      </c>
      <c r="F67" s="20" t="s">
        <v>929</v>
      </c>
      <c r="G67" s="2" t="s">
        <v>18</v>
      </c>
      <c r="H67" s="3">
        <v>105</v>
      </c>
      <c r="I67" s="4">
        <v>7.78</v>
      </c>
      <c r="J67" s="5">
        <f t="shared" si="5"/>
        <v>816.9</v>
      </c>
      <c r="K67" s="6">
        <v>0.1</v>
      </c>
      <c r="L67" s="5">
        <f t="shared" si="6"/>
        <v>735.21</v>
      </c>
      <c r="M67" s="4">
        <v>1</v>
      </c>
      <c r="N67" s="5">
        <f t="shared" si="7"/>
        <v>105</v>
      </c>
      <c r="O67" s="5">
        <f t="shared" si="8"/>
        <v>630.21</v>
      </c>
      <c r="P67" s="2" t="s">
        <v>19</v>
      </c>
    </row>
    <row r="68" spans="1:16" x14ac:dyDescent="0.3">
      <c r="A68" s="2">
        <f t="shared" ref="A68:A131" si="9">A67+1</f>
        <v>20250067</v>
      </c>
      <c r="B68" s="25">
        <v>45661</v>
      </c>
      <c r="C68" s="2" t="s">
        <v>486</v>
      </c>
      <c r="D68" s="2" t="s">
        <v>16</v>
      </c>
      <c r="E68" s="20" t="s">
        <v>561</v>
      </c>
      <c r="F68" s="20" t="s">
        <v>88</v>
      </c>
      <c r="G68" s="2" t="s">
        <v>32</v>
      </c>
      <c r="H68" s="3">
        <v>4</v>
      </c>
      <c r="I68" s="4">
        <v>20.65</v>
      </c>
      <c r="J68" s="5">
        <f t="shared" si="5"/>
        <v>82.6</v>
      </c>
      <c r="K68" s="6">
        <v>0.03</v>
      </c>
      <c r="L68" s="5">
        <f t="shared" si="6"/>
        <v>0</v>
      </c>
      <c r="M68" s="4">
        <v>9.5</v>
      </c>
      <c r="N68" s="5">
        <f t="shared" si="7"/>
        <v>0</v>
      </c>
      <c r="O68" s="5">
        <f t="shared" si="8"/>
        <v>0</v>
      </c>
      <c r="P68" s="2" t="s">
        <v>22</v>
      </c>
    </row>
    <row r="69" spans="1:16" x14ac:dyDescent="0.3">
      <c r="A69" s="2">
        <f t="shared" si="9"/>
        <v>20250068</v>
      </c>
      <c r="B69" s="25">
        <v>45661</v>
      </c>
      <c r="C69" s="2" t="s">
        <v>486</v>
      </c>
      <c r="D69" s="2" t="s">
        <v>28</v>
      </c>
      <c r="E69" s="20" t="s">
        <v>562</v>
      </c>
      <c r="F69" s="20" t="s">
        <v>89</v>
      </c>
      <c r="G69" s="2" t="s">
        <v>18</v>
      </c>
      <c r="H69" s="3">
        <v>7</v>
      </c>
      <c r="I69" s="4">
        <v>7.93</v>
      </c>
      <c r="J69" s="5">
        <f t="shared" si="5"/>
        <v>55.51</v>
      </c>
      <c r="K69" s="6">
        <v>0.1</v>
      </c>
      <c r="L69" s="5">
        <f t="shared" si="6"/>
        <v>0</v>
      </c>
      <c r="M69" s="4">
        <v>1</v>
      </c>
      <c r="N69" s="5">
        <f t="shared" si="7"/>
        <v>0</v>
      </c>
      <c r="O69" s="5">
        <f t="shared" si="8"/>
        <v>0</v>
      </c>
      <c r="P69" s="2" t="s">
        <v>22</v>
      </c>
    </row>
    <row r="70" spans="1:16" x14ac:dyDescent="0.3">
      <c r="A70" s="2">
        <f t="shared" si="9"/>
        <v>20250069</v>
      </c>
      <c r="B70" s="25">
        <v>45662</v>
      </c>
      <c r="C70" s="2" t="s">
        <v>486</v>
      </c>
      <c r="D70" s="2" t="s">
        <v>16</v>
      </c>
      <c r="E70" s="20" t="s">
        <v>563</v>
      </c>
      <c r="F70" s="20" t="s">
        <v>90</v>
      </c>
      <c r="G70" s="2" t="s">
        <v>27</v>
      </c>
      <c r="H70" s="3">
        <v>2</v>
      </c>
      <c r="I70" s="4">
        <v>42.38</v>
      </c>
      <c r="J70" s="5">
        <f t="shared" si="5"/>
        <v>84.76</v>
      </c>
      <c r="K70" s="6">
        <v>0</v>
      </c>
      <c r="L70" s="5">
        <f t="shared" si="6"/>
        <v>84.76</v>
      </c>
      <c r="M70" s="4">
        <v>24</v>
      </c>
      <c r="N70" s="5">
        <f t="shared" si="7"/>
        <v>48</v>
      </c>
      <c r="O70" s="5">
        <f t="shared" si="8"/>
        <v>36.760000000000005</v>
      </c>
      <c r="P70" s="2" t="s">
        <v>19</v>
      </c>
    </row>
    <row r="71" spans="1:16" x14ac:dyDescent="0.3">
      <c r="A71" s="2">
        <f t="shared" si="9"/>
        <v>20250070</v>
      </c>
      <c r="B71" s="25">
        <v>45662</v>
      </c>
      <c r="C71" s="2" t="s">
        <v>486</v>
      </c>
      <c r="D71" s="2" t="s">
        <v>24</v>
      </c>
      <c r="E71" s="20" t="s">
        <v>564</v>
      </c>
      <c r="F71" s="20" t="s">
        <v>91</v>
      </c>
      <c r="G71" s="2" t="s">
        <v>27</v>
      </c>
      <c r="H71" s="3">
        <v>15</v>
      </c>
      <c r="I71" s="4">
        <v>41.89</v>
      </c>
      <c r="J71" s="5">
        <f t="shared" si="5"/>
        <v>628.35</v>
      </c>
      <c r="K71" s="6">
        <v>0</v>
      </c>
      <c r="L71" s="5">
        <f t="shared" si="6"/>
        <v>628.35</v>
      </c>
      <c r="M71" s="4">
        <v>24</v>
      </c>
      <c r="N71" s="5">
        <f t="shared" si="7"/>
        <v>360</v>
      </c>
      <c r="O71" s="5">
        <f t="shared" si="8"/>
        <v>268.35000000000002</v>
      </c>
      <c r="P71" s="2" t="s">
        <v>19</v>
      </c>
    </row>
    <row r="72" spans="1:16" x14ac:dyDescent="0.3">
      <c r="A72" s="2">
        <f t="shared" si="9"/>
        <v>20250071</v>
      </c>
      <c r="B72" s="25">
        <v>45662</v>
      </c>
      <c r="C72" s="2" t="s">
        <v>486</v>
      </c>
      <c r="D72" s="2" t="s">
        <v>16</v>
      </c>
      <c r="E72" s="20" t="s">
        <v>565</v>
      </c>
      <c r="F72" s="20" t="s">
        <v>92</v>
      </c>
      <c r="G72" s="2" t="s">
        <v>21</v>
      </c>
      <c r="H72" s="3">
        <v>3</v>
      </c>
      <c r="I72" s="4">
        <v>32.74</v>
      </c>
      <c r="J72" s="5">
        <f t="shared" si="5"/>
        <v>98.22</v>
      </c>
      <c r="K72" s="6">
        <v>0</v>
      </c>
      <c r="L72" s="5">
        <f t="shared" si="6"/>
        <v>0</v>
      </c>
      <c r="M72" s="4">
        <v>15</v>
      </c>
      <c r="N72" s="5">
        <f t="shared" si="7"/>
        <v>0</v>
      </c>
      <c r="O72" s="5">
        <f t="shared" si="8"/>
        <v>0</v>
      </c>
      <c r="P72" s="2" t="s">
        <v>22</v>
      </c>
    </row>
    <row r="73" spans="1:16" x14ac:dyDescent="0.3">
      <c r="A73" s="2">
        <f t="shared" si="9"/>
        <v>20250072</v>
      </c>
      <c r="B73" s="25">
        <v>45662</v>
      </c>
      <c r="C73" s="2" t="s">
        <v>486</v>
      </c>
      <c r="D73" s="2" t="s">
        <v>16</v>
      </c>
      <c r="E73" s="20" t="s">
        <v>566</v>
      </c>
      <c r="F73" s="20" t="s">
        <v>93</v>
      </c>
      <c r="G73" s="2" t="s">
        <v>18</v>
      </c>
      <c r="H73" s="3">
        <v>18</v>
      </c>
      <c r="I73" s="4">
        <v>9.6</v>
      </c>
      <c r="J73" s="5">
        <f t="shared" si="5"/>
        <v>172.79999999999998</v>
      </c>
      <c r="K73" s="6">
        <v>0</v>
      </c>
      <c r="L73" s="5">
        <f t="shared" si="6"/>
        <v>172.79999999999998</v>
      </c>
      <c r="M73" s="4">
        <v>1</v>
      </c>
      <c r="N73" s="5">
        <f t="shared" si="7"/>
        <v>18</v>
      </c>
      <c r="O73" s="5">
        <f t="shared" si="8"/>
        <v>154.79999999999998</v>
      </c>
      <c r="P73" s="2" t="s">
        <v>19</v>
      </c>
    </row>
    <row r="74" spans="1:16" x14ac:dyDescent="0.3">
      <c r="A74" s="2">
        <f t="shared" si="9"/>
        <v>20250073</v>
      </c>
      <c r="B74" s="25">
        <v>45662</v>
      </c>
      <c r="C74" s="2" t="s">
        <v>486</v>
      </c>
      <c r="D74" s="2" t="s">
        <v>28</v>
      </c>
      <c r="E74" s="20" t="s">
        <v>930</v>
      </c>
      <c r="F74" s="20" t="s">
        <v>94</v>
      </c>
      <c r="G74" s="2" t="s">
        <v>18</v>
      </c>
      <c r="H74" s="3">
        <v>19</v>
      </c>
      <c r="I74" s="4">
        <v>8.6</v>
      </c>
      <c r="J74" s="5">
        <f t="shared" si="5"/>
        <v>163.4</v>
      </c>
      <c r="K74" s="6">
        <v>0.15</v>
      </c>
      <c r="L74" s="5">
        <f t="shared" si="6"/>
        <v>138.89000000000001</v>
      </c>
      <c r="M74" s="4">
        <v>1</v>
      </c>
      <c r="N74" s="5">
        <f t="shared" si="7"/>
        <v>19</v>
      </c>
      <c r="O74" s="5">
        <f t="shared" si="8"/>
        <v>119.89000000000001</v>
      </c>
      <c r="P74" s="2" t="s">
        <v>19</v>
      </c>
    </row>
    <row r="75" spans="1:16" x14ac:dyDescent="0.3">
      <c r="A75" s="2">
        <f t="shared" si="9"/>
        <v>20250074</v>
      </c>
      <c r="B75" s="25">
        <v>45662</v>
      </c>
      <c r="C75" s="2" t="s">
        <v>486</v>
      </c>
      <c r="D75" s="2" t="s">
        <v>24</v>
      </c>
      <c r="E75" s="20" t="s">
        <v>567</v>
      </c>
      <c r="F75" s="20" t="s">
        <v>95</v>
      </c>
      <c r="G75" s="2" t="s">
        <v>32</v>
      </c>
      <c r="H75" s="3">
        <v>8</v>
      </c>
      <c r="I75" s="4">
        <v>23.48</v>
      </c>
      <c r="J75" s="5">
        <f t="shared" si="5"/>
        <v>187.84</v>
      </c>
      <c r="K75" s="6">
        <v>0</v>
      </c>
      <c r="L75" s="5">
        <f t="shared" si="6"/>
        <v>0</v>
      </c>
      <c r="M75" s="4">
        <v>9.5</v>
      </c>
      <c r="N75" s="5">
        <f t="shared" si="7"/>
        <v>0</v>
      </c>
      <c r="O75" s="5">
        <f t="shared" si="8"/>
        <v>0</v>
      </c>
      <c r="P75" s="2" t="s">
        <v>22</v>
      </c>
    </row>
    <row r="76" spans="1:16" x14ac:dyDescent="0.3">
      <c r="A76" s="2">
        <f t="shared" si="9"/>
        <v>20250075</v>
      </c>
      <c r="B76" s="25">
        <v>45662</v>
      </c>
      <c r="C76" s="2" t="s">
        <v>486</v>
      </c>
      <c r="D76" s="2" t="s">
        <v>28</v>
      </c>
      <c r="E76" s="20" t="s">
        <v>568</v>
      </c>
      <c r="F76" s="20" t="s">
        <v>96</v>
      </c>
      <c r="G76" s="2" t="s">
        <v>27</v>
      </c>
      <c r="H76" s="3">
        <v>39</v>
      </c>
      <c r="I76" s="4">
        <v>35.33</v>
      </c>
      <c r="J76" s="5">
        <f t="shared" si="5"/>
        <v>1377.87</v>
      </c>
      <c r="K76" s="6">
        <v>0.1</v>
      </c>
      <c r="L76" s="5">
        <f t="shared" si="6"/>
        <v>1240.0829999999999</v>
      </c>
      <c r="M76" s="4">
        <v>24</v>
      </c>
      <c r="N76" s="5">
        <f t="shared" si="7"/>
        <v>936</v>
      </c>
      <c r="O76" s="5">
        <f t="shared" si="8"/>
        <v>304.08299999999986</v>
      </c>
      <c r="P76" s="2" t="s">
        <v>19</v>
      </c>
    </row>
    <row r="77" spans="1:16" x14ac:dyDescent="0.3">
      <c r="A77" s="2">
        <f t="shared" si="9"/>
        <v>20250076</v>
      </c>
      <c r="B77" s="25">
        <v>45662</v>
      </c>
      <c r="C77" s="2" t="s">
        <v>486</v>
      </c>
      <c r="D77" s="2" t="s">
        <v>28</v>
      </c>
      <c r="E77" s="20" t="s">
        <v>569</v>
      </c>
      <c r="F77" s="20" t="s">
        <v>97</v>
      </c>
      <c r="G77" s="2" t="s">
        <v>18</v>
      </c>
      <c r="H77" s="3">
        <v>4</v>
      </c>
      <c r="I77" s="4">
        <v>8.4600000000000009</v>
      </c>
      <c r="J77" s="5">
        <f t="shared" si="5"/>
        <v>33.840000000000003</v>
      </c>
      <c r="K77" s="6">
        <v>0.08</v>
      </c>
      <c r="L77" s="5">
        <f t="shared" si="6"/>
        <v>31.132800000000003</v>
      </c>
      <c r="M77" s="4">
        <v>1</v>
      </c>
      <c r="N77" s="5">
        <f t="shared" si="7"/>
        <v>4</v>
      </c>
      <c r="O77" s="5">
        <f t="shared" si="8"/>
        <v>27.132800000000003</v>
      </c>
      <c r="P77" s="2" t="s">
        <v>19</v>
      </c>
    </row>
    <row r="78" spans="1:16" x14ac:dyDescent="0.3">
      <c r="A78" s="2">
        <f t="shared" si="9"/>
        <v>20250077</v>
      </c>
      <c r="B78" s="25">
        <v>45662</v>
      </c>
      <c r="C78" s="2" t="s">
        <v>486</v>
      </c>
      <c r="D78" s="2" t="s">
        <v>16</v>
      </c>
      <c r="E78" s="20" t="s">
        <v>931</v>
      </c>
      <c r="F78" s="20" t="s">
        <v>98</v>
      </c>
      <c r="G78" s="2" t="s">
        <v>21</v>
      </c>
      <c r="H78" s="3">
        <v>15</v>
      </c>
      <c r="I78" s="4">
        <v>29.43</v>
      </c>
      <c r="J78" s="5">
        <f t="shared" si="5"/>
        <v>441.45</v>
      </c>
      <c r="K78" s="6">
        <v>0.05</v>
      </c>
      <c r="L78" s="5">
        <f t="shared" si="6"/>
        <v>419.3775</v>
      </c>
      <c r="M78" s="4">
        <v>15</v>
      </c>
      <c r="N78" s="5">
        <f t="shared" si="7"/>
        <v>225</v>
      </c>
      <c r="O78" s="5">
        <f t="shared" si="8"/>
        <v>194.3775</v>
      </c>
      <c r="P78" s="2" t="s">
        <v>19</v>
      </c>
    </row>
    <row r="79" spans="1:16" x14ac:dyDescent="0.3">
      <c r="A79" s="2">
        <f t="shared" si="9"/>
        <v>20250078</v>
      </c>
      <c r="B79" s="25">
        <v>45662</v>
      </c>
      <c r="C79" s="2" t="s">
        <v>486</v>
      </c>
      <c r="D79" s="2" t="s">
        <v>28</v>
      </c>
      <c r="E79" s="20" t="s">
        <v>570</v>
      </c>
      <c r="F79" s="20" t="s">
        <v>99</v>
      </c>
      <c r="G79" s="2" t="s">
        <v>27</v>
      </c>
      <c r="H79" s="3">
        <v>86</v>
      </c>
      <c r="I79" s="4">
        <v>45.84</v>
      </c>
      <c r="J79" s="5">
        <f t="shared" si="5"/>
        <v>3942.2400000000002</v>
      </c>
      <c r="K79" s="6">
        <v>0.12</v>
      </c>
      <c r="L79" s="5">
        <f t="shared" si="6"/>
        <v>3469.1712000000002</v>
      </c>
      <c r="M79" s="4">
        <v>24</v>
      </c>
      <c r="N79" s="5">
        <f t="shared" si="7"/>
        <v>2064</v>
      </c>
      <c r="O79" s="5">
        <f t="shared" si="8"/>
        <v>1405.1712000000002</v>
      </c>
      <c r="P79" s="2" t="s">
        <v>19</v>
      </c>
    </row>
    <row r="80" spans="1:16" x14ac:dyDescent="0.3">
      <c r="A80" s="2">
        <f t="shared" si="9"/>
        <v>20250079</v>
      </c>
      <c r="B80" s="25">
        <v>45662</v>
      </c>
      <c r="C80" s="2" t="s">
        <v>486</v>
      </c>
      <c r="D80" s="2" t="s">
        <v>16</v>
      </c>
      <c r="E80" s="20" t="s">
        <v>571</v>
      </c>
      <c r="F80" s="20" t="s">
        <v>100</v>
      </c>
      <c r="G80" s="2" t="s">
        <v>21</v>
      </c>
      <c r="H80" s="3">
        <v>19</v>
      </c>
      <c r="I80" s="4">
        <v>29.68</v>
      </c>
      <c r="J80" s="5">
        <f t="shared" si="5"/>
        <v>563.91999999999996</v>
      </c>
      <c r="K80" s="6">
        <v>0.03</v>
      </c>
      <c r="L80" s="5">
        <f t="shared" si="6"/>
        <v>547.00239999999997</v>
      </c>
      <c r="M80" s="4">
        <v>15</v>
      </c>
      <c r="N80" s="5">
        <f t="shared" si="7"/>
        <v>285</v>
      </c>
      <c r="O80" s="5">
        <f t="shared" si="8"/>
        <v>262.00239999999997</v>
      </c>
      <c r="P80" s="2" t="s">
        <v>19</v>
      </c>
    </row>
    <row r="81" spans="1:16" x14ac:dyDescent="0.3">
      <c r="A81" s="2">
        <f t="shared" si="9"/>
        <v>20250080</v>
      </c>
      <c r="B81" s="25">
        <v>45662</v>
      </c>
      <c r="C81" s="2" t="s">
        <v>486</v>
      </c>
      <c r="D81" s="2" t="s">
        <v>16</v>
      </c>
      <c r="E81" s="20" t="s">
        <v>572</v>
      </c>
      <c r="F81" s="20" t="s">
        <v>101</v>
      </c>
      <c r="G81" s="2" t="s">
        <v>18</v>
      </c>
      <c r="H81" s="3">
        <v>3</v>
      </c>
      <c r="I81" s="4">
        <v>9.0500000000000007</v>
      </c>
      <c r="J81" s="5">
        <f t="shared" si="5"/>
        <v>27.150000000000002</v>
      </c>
      <c r="K81" s="6">
        <v>7.0000000000000007E-2</v>
      </c>
      <c r="L81" s="5">
        <f t="shared" si="6"/>
        <v>25.249500000000001</v>
      </c>
      <c r="M81" s="4">
        <v>1</v>
      </c>
      <c r="N81" s="5">
        <f t="shared" si="7"/>
        <v>3</v>
      </c>
      <c r="O81" s="5">
        <f t="shared" si="8"/>
        <v>22.249500000000001</v>
      </c>
      <c r="P81" s="2" t="s">
        <v>19</v>
      </c>
    </row>
    <row r="82" spans="1:16" x14ac:dyDescent="0.3">
      <c r="A82" s="2">
        <f t="shared" si="9"/>
        <v>20250081</v>
      </c>
      <c r="B82" s="25">
        <v>45662</v>
      </c>
      <c r="C82" s="2" t="s">
        <v>486</v>
      </c>
      <c r="D82" s="2" t="s">
        <v>24</v>
      </c>
      <c r="E82" s="20" t="s">
        <v>573</v>
      </c>
      <c r="F82" s="20" t="s">
        <v>102</v>
      </c>
      <c r="G82" s="2" t="s">
        <v>32</v>
      </c>
      <c r="H82" s="3">
        <v>10</v>
      </c>
      <c r="I82" s="4">
        <v>19.55</v>
      </c>
      <c r="J82" s="5">
        <f t="shared" si="5"/>
        <v>195.5</v>
      </c>
      <c r="K82" s="6">
        <v>7.0000000000000007E-2</v>
      </c>
      <c r="L82" s="5">
        <f t="shared" si="6"/>
        <v>181.815</v>
      </c>
      <c r="M82" s="4">
        <v>9.5</v>
      </c>
      <c r="N82" s="5">
        <f t="shared" si="7"/>
        <v>95</v>
      </c>
      <c r="O82" s="5">
        <f t="shared" si="8"/>
        <v>86.814999999999998</v>
      </c>
      <c r="P82" s="2" t="s">
        <v>19</v>
      </c>
    </row>
    <row r="83" spans="1:16" x14ac:dyDescent="0.3">
      <c r="A83" s="2">
        <f t="shared" si="9"/>
        <v>20250082</v>
      </c>
      <c r="B83" s="25">
        <v>45662</v>
      </c>
      <c r="C83" s="2" t="s">
        <v>486</v>
      </c>
      <c r="D83" s="2" t="s">
        <v>24</v>
      </c>
      <c r="E83" s="20" t="s">
        <v>574</v>
      </c>
      <c r="F83" s="20" t="s">
        <v>932</v>
      </c>
      <c r="G83" s="2" t="s">
        <v>18</v>
      </c>
      <c r="H83" s="3">
        <v>25</v>
      </c>
      <c r="I83" s="4">
        <v>8.06</v>
      </c>
      <c r="J83" s="5">
        <f t="shared" si="5"/>
        <v>201.5</v>
      </c>
      <c r="K83" s="6">
        <v>0</v>
      </c>
      <c r="L83" s="5">
        <f t="shared" si="6"/>
        <v>201.5</v>
      </c>
      <c r="M83" s="4">
        <v>1</v>
      </c>
      <c r="N83" s="5">
        <f t="shared" si="7"/>
        <v>25</v>
      </c>
      <c r="O83" s="5">
        <f t="shared" si="8"/>
        <v>176.5</v>
      </c>
      <c r="P83" s="2" t="s">
        <v>19</v>
      </c>
    </row>
    <row r="84" spans="1:16" x14ac:dyDescent="0.3">
      <c r="A84" s="2">
        <f t="shared" si="9"/>
        <v>20250083</v>
      </c>
      <c r="B84" s="25">
        <v>45662</v>
      </c>
      <c r="C84" s="2" t="s">
        <v>486</v>
      </c>
      <c r="D84" s="2" t="s">
        <v>28</v>
      </c>
      <c r="E84" s="20" t="s">
        <v>575</v>
      </c>
      <c r="F84" s="20" t="s">
        <v>103</v>
      </c>
      <c r="G84" s="2" t="s">
        <v>32</v>
      </c>
      <c r="H84" s="3">
        <v>21</v>
      </c>
      <c r="I84" s="4">
        <v>17.55</v>
      </c>
      <c r="J84" s="5">
        <f t="shared" si="5"/>
        <v>368.55</v>
      </c>
      <c r="K84" s="6">
        <v>0.05</v>
      </c>
      <c r="L84" s="5">
        <f t="shared" si="6"/>
        <v>0</v>
      </c>
      <c r="M84" s="4">
        <v>9.5</v>
      </c>
      <c r="N84" s="5">
        <f t="shared" si="7"/>
        <v>0</v>
      </c>
      <c r="O84" s="5">
        <f t="shared" si="8"/>
        <v>0</v>
      </c>
      <c r="P84" s="2" t="s">
        <v>22</v>
      </c>
    </row>
    <row r="85" spans="1:16" x14ac:dyDescent="0.3">
      <c r="A85" s="2">
        <f t="shared" si="9"/>
        <v>20250084</v>
      </c>
      <c r="B85" s="25">
        <v>45662</v>
      </c>
      <c r="C85" s="2" t="s">
        <v>486</v>
      </c>
      <c r="D85" s="2" t="s">
        <v>28</v>
      </c>
      <c r="E85" s="20" t="s">
        <v>576</v>
      </c>
      <c r="F85" s="20" t="s">
        <v>104</v>
      </c>
      <c r="G85" s="2" t="s">
        <v>18</v>
      </c>
      <c r="H85" s="3">
        <v>13</v>
      </c>
      <c r="I85" s="4">
        <v>8.24</v>
      </c>
      <c r="J85" s="5">
        <f t="shared" si="5"/>
        <v>107.12</v>
      </c>
      <c r="K85" s="6">
        <v>0.15</v>
      </c>
      <c r="L85" s="5">
        <f t="shared" si="6"/>
        <v>0</v>
      </c>
      <c r="M85" s="4">
        <v>1</v>
      </c>
      <c r="N85" s="5">
        <f t="shared" si="7"/>
        <v>0</v>
      </c>
      <c r="O85" s="5">
        <f t="shared" si="8"/>
        <v>0</v>
      </c>
      <c r="P85" s="2" t="s">
        <v>22</v>
      </c>
    </row>
    <row r="86" spans="1:16" x14ac:dyDescent="0.3">
      <c r="A86" s="2">
        <f t="shared" si="9"/>
        <v>20250085</v>
      </c>
      <c r="B86" s="25">
        <v>45662</v>
      </c>
      <c r="C86" s="2" t="s">
        <v>486</v>
      </c>
      <c r="D86" s="2" t="s">
        <v>16</v>
      </c>
      <c r="E86" s="20" t="s">
        <v>577</v>
      </c>
      <c r="F86" s="20" t="s">
        <v>105</v>
      </c>
      <c r="G86" s="2" t="s">
        <v>27</v>
      </c>
      <c r="H86" s="3">
        <v>8</v>
      </c>
      <c r="I86" s="4">
        <v>49.43</v>
      </c>
      <c r="J86" s="5">
        <f t="shared" si="5"/>
        <v>395.44</v>
      </c>
      <c r="K86" s="6">
        <v>0</v>
      </c>
      <c r="L86" s="5">
        <f t="shared" si="6"/>
        <v>395.44</v>
      </c>
      <c r="M86" s="4">
        <v>24</v>
      </c>
      <c r="N86" s="5">
        <f t="shared" si="7"/>
        <v>192</v>
      </c>
      <c r="O86" s="5">
        <f t="shared" si="8"/>
        <v>203.44</v>
      </c>
      <c r="P86" s="2" t="s">
        <v>19</v>
      </c>
    </row>
    <row r="87" spans="1:16" x14ac:dyDescent="0.3">
      <c r="A87" s="2">
        <f t="shared" si="9"/>
        <v>20250086</v>
      </c>
      <c r="B87" s="25">
        <v>45662</v>
      </c>
      <c r="C87" s="2" t="s">
        <v>486</v>
      </c>
      <c r="D87" s="2" t="s">
        <v>28</v>
      </c>
      <c r="E87" s="20" t="s">
        <v>578</v>
      </c>
      <c r="F87" s="20" t="s">
        <v>106</v>
      </c>
      <c r="G87" s="2" t="s">
        <v>32</v>
      </c>
      <c r="H87" s="3">
        <v>63</v>
      </c>
      <c r="I87" s="4">
        <v>19.47</v>
      </c>
      <c r="J87" s="5">
        <f t="shared" si="5"/>
        <v>1226.6099999999999</v>
      </c>
      <c r="K87" s="6">
        <v>0.12</v>
      </c>
      <c r="L87" s="5">
        <f t="shared" si="6"/>
        <v>0</v>
      </c>
      <c r="M87" s="4">
        <v>9.5</v>
      </c>
      <c r="N87" s="5">
        <f t="shared" si="7"/>
        <v>0</v>
      </c>
      <c r="O87" s="5">
        <f t="shared" si="8"/>
        <v>0</v>
      </c>
      <c r="P87" s="2" t="s">
        <v>22</v>
      </c>
    </row>
    <row r="88" spans="1:16" x14ac:dyDescent="0.3">
      <c r="A88" s="2">
        <f t="shared" si="9"/>
        <v>20250087</v>
      </c>
      <c r="B88" s="25">
        <v>45662</v>
      </c>
      <c r="C88" s="2" t="s">
        <v>486</v>
      </c>
      <c r="D88" s="2" t="s">
        <v>16</v>
      </c>
      <c r="E88" s="20" t="s">
        <v>579</v>
      </c>
      <c r="F88" s="20" t="s">
        <v>107</v>
      </c>
      <c r="G88" s="2" t="s">
        <v>43</v>
      </c>
      <c r="H88" s="3">
        <v>9</v>
      </c>
      <c r="I88" s="4">
        <v>16.63</v>
      </c>
      <c r="J88" s="5">
        <f t="shared" si="5"/>
        <v>149.66999999999999</v>
      </c>
      <c r="K88" s="6">
        <v>0.03</v>
      </c>
      <c r="L88" s="5">
        <f t="shared" si="6"/>
        <v>145.17989999999998</v>
      </c>
      <c r="M88" s="4">
        <v>3</v>
      </c>
      <c r="N88" s="5">
        <f t="shared" si="7"/>
        <v>27</v>
      </c>
      <c r="O88" s="5">
        <f t="shared" si="8"/>
        <v>118.17989999999998</v>
      </c>
      <c r="P88" s="2" t="s">
        <v>19</v>
      </c>
    </row>
    <row r="89" spans="1:16" x14ac:dyDescent="0.3">
      <c r="A89" s="2">
        <f t="shared" si="9"/>
        <v>20250088</v>
      </c>
      <c r="B89" s="25">
        <v>45662</v>
      </c>
      <c r="C89" s="2" t="s">
        <v>486</v>
      </c>
      <c r="D89" s="2" t="s">
        <v>16</v>
      </c>
      <c r="E89" s="20" t="s">
        <v>580</v>
      </c>
      <c r="F89" s="20" t="s">
        <v>108</v>
      </c>
      <c r="G89" s="2" t="s">
        <v>18</v>
      </c>
      <c r="H89" s="3">
        <v>19</v>
      </c>
      <c r="I89" s="4">
        <v>10.09</v>
      </c>
      <c r="J89" s="5">
        <f t="shared" si="5"/>
        <v>191.71</v>
      </c>
      <c r="K89" s="6">
        <v>7.0000000000000007E-2</v>
      </c>
      <c r="L89" s="5">
        <f t="shared" si="6"/>
        <v>0</v>
      </c>
      <c r="M89" s="4">
        <v>1</v>
      </c>
      <c r="N89" s="5">
        <f t="shared" si="7"/>
        <v>0</v>
      </c>
      <c r="O89" s="5">
        <f t="shared" si="8"/>
        <v>0</v>
      </c>
      <c r="P89" s="2" t="s">
        <v>22</v>
      </c>
    </row>
    <row r="90" spans="1:16" x14ac:dyDescent="0.3">
      <c r="A90" s="2">
        <f t="shared" si="9"/>
        <v>20250089</v>
      </c>
      <c r="B90" s="25">
        <v>45662</v>
      </c>
      <c r="C90" s="2" t="s">
        <v>486</v>
      </c>
      <c r="D90" s="2" t="s">
        <v>24</v>
      </c>
      <c r="E90" s="20" t="s">
        <v>581</v>
      </c>
      <c r="F90" s="20" t="s">
        <v>933</v>
      </c>
      <c r="G90" s="2" t="s">
        <v>18</v>
      </c>
      <c r="H90" s="3">
        <v>11</v>
      </c>
      <c r="I90" s="4">
        <v>9.4700000000000006</v>
      </c>
      <c r="J90" s="5">
        <f t="shared" si="5"/>
        <v>104.17</v>
      </c>
      <c r="K90" s="6">
        <v>0.03</v>
      </c>
      <c r="L90" s="5">
        <f t="shared" si="6"/>
        <v>101.0449</v>
      </c>
      <c r="M90" s="4">
        <v>1</v>
      </c>
      <c r="N90" s="5">
        <f t="shared" si="7"/>
        <v>11</v>
      </c>
      <c r="O90" s="5">
        <f t="shared" si="8"/>
        <v>90.044899999999998</v>
      </c>
      <c r="P90" s="2" t="s">
        <v>19</v>
      </c>
    </row>
    <row r="91" spans="1:16" x14ac:dyDescent="0.3">
      <c r="A91" s="2">
        <f t="shared" si="9"/>
        <v>20250090</v>
      </c>
      <c r="B91" s="25">
        <v>45662</v>
      </c>
      <c r="C91" s="2" t="s">
        <v>486</v>
      </c>
      <c r="D91" s="2" t="s">
        <v>16</v>
      </c>
      <c r="E91" s="20" t="s">
        <v>582</v>
      </c>
      <c r="F91" s="20" t="s">
        <v>934</v>
      </c>
      <c r="G91" s="2" t="s">
        <v>43</v>
      </c>
      <c r="H91" s="3">
        <v>23</v>
      </c>
      <c r="I91" s="4">
        <v>14.87</v>
      </c>
      <c r="J91" s="5">
        <f t="shared" si="5"/>
        <v>342.01</v>
      </c>
      <c r="K91" s="6">
        <v>7.0000000000000007E-2</v>
      </c>
      <c r="L91" s="5">
        <f t="shared" si="6"/>
        <v>318.0693</v>
      </c>
      <c r="M91" s="4">
        <v>3</v>
      </c>
      <c r="N91" s="5">
        <f t="shared" si="7"/>
        <v>69</v>
      </c>
      <c r="O91" s="5">
        <f t="shared" si="8"/>
        <v>249.0693</v>
      </c>
      <c r="P91" s="2" t="s">
        <v>19</v>
      </c>
    </row>
    <row r="92" spans="1:16" x14ac:dyDescent="0.3">
      <c r="A92" s="2">
        <f t="shared" si="9"/>
        <v>20250091</v>
      </c>
      <c r="B92" s="25">
        <v>45662</v>
      </c>
      <c r="C92" s="2" t="s">
        <v>486</v>
      </c>
      <c r="D92" s="2" t="s">
        <v>28</v>
      </c>
      <c r="E92" s="20" t="s">
        <v>583</v>
      </c>
      <c r="F92" s="20" t="s">
        <v>109</v>
      </c>
      <c r="G92" s="2" t="s">
        <v>32</v>
      </c>
      <c r="H92" s="3">
        <v>74</v>
      </c>
      <c r="I92" s="4">
        <v>21.73</v>
      </c>
      <c r="J92" s="5">
        <f t="shared" si="5"/>
        <v>1608.02</v>
      </c>
      <c r="K92" s="6">
        <v>0.1</v>
      </c>
      <c r="L92" s="5">
        <f t="shared" si="6"/>
        <v>1447.2180000000001</v>
      </c>
      <c r="M92" s="4">
        <v>9.5</v>
      </c>
      <c r="N92" s="5">
        <f t="shared" si="7"/>
        <v>703</v>
      </c>
      <c r="O92" s="5">
        <f t="shared" si="8"/>
        <v>744.21800000000007</v>
      </c>
      <c r="P92" s="2" t="s">
        <v>19</v>
      </c>
    </row>
    <row r="93" spans="1:16" x14ac:dyDescent="0.3">
      <c r="A93" s="2">
        <f t="shared" si="9"/>
        <v>20250092</v>
      </c>
      <c r="B93" s="25">
        <v>45663</v>
      </c>
      <c r="C93" s="2" t="s">
        <v>486</v>
      </c>
      <c r="D93" s="2" t="s">
        <v>28</v>
      </c>
      <c r="E93" s="20" t="s">
        <v>584</v>
      </c>
      <c r="F93" s="20" t="s">
        <v>110</v>
      </c>
      <c r="G93" s="2" t="s">
        <v>21</v>
      </c>
      <c r="H93" s="3">
        <v>24</v>
      </c>
      <c r="I93" s="4">
        <v>29.48</v>
      </c>
      <c r="J93" s="5">
        <f t="shared" si="5"/>
        <v>707.52</v>
      </c>
      <c r="K93" s="6">
        <v>0.08</v>
      </c>
      <c r="L93" s="5">
        <f t="shared" si="6"/>
        <v>650.91840000000002</v>
      </c>
      <c r="M93" s="4">
        <v>15</v>
      </c>
      <c r="N93" s="5">
        <f t="shared" si="7"/>
        <v>360</v>
      </c>
      <c r="O93" s="5">
        <f t="shared" si="8"/>
        <v>290.91840000000002</v>
      </c>
      <c r="P93" s="2" t="s">
        <v>19</v>
      </c>
    </row>
    <row r="94" spans="1:16" x14ac:dyDescent="0.3">
      <c r="A94" s="2">
        <f t="shared" si="9"/>
        <v>20250093</v>
      </c>
      <c r="B94" s="25">
        <v>45663</v>
      </c>
      <c r="C94" s="2" t="s">
        <v>486</v>
      </c>
      <c r="D94" s="2" t="s">
        <v>28</v>
      </c>
      <c r="E94" s="20" t="s">
        <v>585</v>
      </c>
      <c r="F94" s="20" t="s">
        <v>111</v>
      </c>
      <c r="G94" s="2" t="s">
        <v>18</v>
      </c>
      <c r="H94" s="3">
        <v>11</v>
      </c>
      <c r="I94" s="4">
        <v>8.8800000000000008</v>
      </c>
      <c r="J94" s="5">
        <f t="shared" si="5"/>
        <v>97.68</v>
      </c>
      <c r="K94" s="6">
        <v>0.15</v>
      </c>
      <c r="L94" s="5">
        <f t="shared" si="6"/>
        <v>83.028000000000006</v>
      </c>
      <c r="M94" s="4">
        <v>1</v>
      </c>
      <c r="N94" s="5">
        <f t="shared" si="7"/>
        <v>11</v>
      </c>
      <c r="O94" s="5">
        <f t="shared" si="8"/>
        <v>72.028000000000006</v>
      </c>
      <c r="P94" s="2" t="s">
        <v>19</v>
      </c>
    </row>
    <row r="95" spans="1:16" x14ac:dyDescent="0.3">
      <c r="A95" s="2">
        <f t="shared" si="9"/>
        <v>20250094</v>
      </c>
      <c r="B95" s="25">
        <v>45663</v>
      </c>
      <c r="C95" s="2" t="s">
        <v>486</v>
      </c>
      <c r="D95" s="2" t="s">
        <v>28</v>
      </c>
      <c r="E95" s="20" t="s">
        <v>586</v>
      </c>
      <c r="F95" s="20" t="s">
        <v>112</v>
      </c>
      <c r="G95" s="2" t="s">
        <v>43</v>
      </c>
      <c r="H95" s="3">
        <v>8</v>
      </c>
      <c r="I95" s="4">
        <v>17.559999999999999</v>
      </c>
      <c r="J95" s="5">
        <f t="shared" si="5"/>
        <v>140.47999999999999</v>
      </c>
      <c r="K95" s="6">
        <v>0.1</v>
      </c>
      <c r="L95" s="5">
        <f t="shared" si="6"/>
        <v>0</v>
      </c>
      <c r="M95" s="4">
        <v>3</v>
      </c>
      <c r="N95" s="5">
        <f t="shared" si="7"/>
        <v>0</v>
      </c>
      <c r="O95" s="5">
        <f t="shared" si="8"/>
        <v>0</v>
      </c>
      <c r="P95" s="2" t="s">
        <v>22</v>
      </c>
    </row>
    <row r="96" spans="1:16" x14ac:dyDescent="0.3">
      <c r="A96" s="2">
        <f t="shared" si="9"/>
        <v>20250095</v>
      </c>
      <c r="B96" s="25">
        <v>45663</v>
      </c>
      <c r="C96" s="2" t="s">
        <v>486</v>
      </c>
      <c r="D96" s="2" t="s">
        <v>16</v>
      </c>
      <c r="E96" s="20" t="s">
        <v>587</v>
      </c>
      <c r="F96" s="20" t="s">
        <v>113</v>
      </c>
      <c r="G96" s="2" t="s">
        <v>21</v>
      </c>
      <c r="H96" s="3">
        <v>23</v>
      </c>
      <c r="I96" s="4">
        <v>30.05</v>
      </c>
      <c r="J96" s="5">
        <f t="shared" si="5"/>
        <v>691.15</v>
      </c>
      <c r="K96" s="6">
        <v>0</v>
      </c>
      <c r="L96" s="5">
        <f t="shared" si="6"/>
        <v>691.15</v>
      </c>
      <c r="M96" s="4">
        <v>15</v>
      </c>
      <c r="N96" s="5">
        <f t="shared" si="7"/>
        <v>345</v>
      </c>
      <c r="O96" s="5">
        <f t="shared" si="8"/>
        <v>346.15</v>
      </c>
      <c r="P96" s="2" t="s">
        <v>19</v>
      </c>
    </row>
    <row r="97" spans="1:16" x14ac:dyDescent="0.3">
      <c r="A97" s="2">
        <f t="shared" si="9"/>
        <v>20250096</v>
      </c>
      <c r="B97" s="25">
        <v>45663</v>
      </c>
      <c r="C97" s="2" t="s">
        <v>486</v>
      </c>
      <c r="D97" s="2" t="s">
        <v>24</v>
      </c>
      <c r="E97" s="20" t="s">
        <v>588</v>
      </c>
      <c r="F97" s="20" t="s">
        <v>114</v>
      </c>
      <c r="G97" s="2" t="s">
        <v>18</v>
      </c>
      <c r="H97" s="3">
        <v>5</v>
      </c>
      <c r="I97" s="4">
        <v>8.66</v>
      </c>
      <c r="J97" s="5">
        <f t="shared" si="5"/>
        <v>43.3</v>
      </c>
      <c r="K97" s="6">
        <v>7.0000000000000007E-2</v>
      </c>
      <c r="L97" s="5">
        <f t="shared" si="6"/>
        <v>40.268999999999991</v>
      </c>
      <c r="M97" s="4">
        <v>1</v>
      </c>
      <c r="N97" s="5">
        <f t="shared" si="7"/>
        <v>5</v>
      </c>
      <c r="O97" s="5">
        <f t="shared" si="8"/>
        <v>35.268999999999991</v>
      </c>
      <c r="P97" s="2" t="s">
        <v>19</v>
      </c>
    </row>
    <row r="98" spans="1:16" x14ac:dyDescent="0.3">
      <c r="A98" s="2">
        <f t="shared" si="9"/>
        <v>20250097</v>
      </c>
      <c r="B98" s="25">
        <v>45663</v>
      </c>
      <c r="C98" s="2" t="s">
        <v>486</v>
      </c>
      <c r="D98" s="2" t="s">
        <v>16</v>
      </c>
      <c r="E98" s="20" t="s">
        <v>589</v>
      </c>
      <c r="F98" s="20" t="s">
        <v>115</v>
      </c>
      <c r="G98" s="2" t="s">
        <v>32</v>
      </c>
      <c r="H98" s="3">
        <v>20</v>
      </c>
      <c r="I98" s="4">
        <v>21.33</v>
      </c>
      <c r="J98" s="5">
        <f t="shared" si="5"/>
        <v>426.59999999999997</v>
      </c>
      <c r="K98" s="6">
        <v>7.0000000000000007E-2</v>
      </c>
      <c r="L98" s="5">
        <f t="shared" si="6"/>
        <v>396.73799999999994</v>
      </c>
      <c r="M98" s="4">
        <v>9.5</v>
      </c>
      <c r="N98" s="5">
        <f t="shared" si="7"/>
        <v>190</v>
      </c>
      <c r="O98" s="5">
        <f t="shared" si="8"/>
        <v>206.73799999999994</v>
      </c>
      <c r="P98" s="2" t="s">
        <v>19</v>
      </c>
    </row>
    <row r="99" spans="1:16" x14ac:dyDescent="0.3">
      <c r="A99" s="2">
        <f t="shared" si="9"/>
        <v>20250098</v>
      </c>
      <c r="B99" s="25">
        <v>45663</v>
      </c>
      <c r="C99" s="2" t="s">
        <v>486</v>
      </c>
      <c r="D99" s="2" t="s">
        <v>28</v>
      </c>
      <c r="E99" s="20" t="s">
        <v>590</v>
      </c>
      <c r="F99" s="20" t="s">
        <v>116</v>
      </c>
      <c r="G99" s="2" t="s">
        <v>18</v>
      </c>
      <c r="H99" s="3">
        <v>112</v>
      </c>
      <c r="I99" s="4">
        <v>7.52</v>
      </c>
      <c r="J99" s="5">
        <f t="shared" si="5"/>
        <v>842.24</v>
      </c>
      <c r="K99" s="6">
        <v>0.1</v>
      </c>
      <c r="L99" s="5">
        <f t="shared" si="6"/>
        <v>758.01600000000008</v>
      </c>
      <c r="M99" s="4">
        <v>1</v>
      </c>
      <c r="N99" s="5">
        <f t="shared" si="7"/>
        <v>112</v>
      </c>
      <c r="O99" s="5">
        <f t="shared" si="8"/>
        <v>646.01600000000008</v>
      </c>
      <c r="P99" s="2" t="s">
        <v>19</v>
      </c>
    </row>
    <row r="100" spans="1:16" x14ac:dyDescent="0.3">
      <c r="A100" s="2">
        <f t="shared" si="9"/>
        <v>20250099</v>
      </c>
      <c r="B100" s="25">
        <v>45663</v>
      </c>
      <c r="C100" s="2" t="s">
        <v>486</v>
      </c>
      <c r="D100" s="2" t="s">
        <v>28</v>
      </c>
      <c r="E100" s="20" t="s">
        <v>591</v>
      </c>
      <c r="F100" s="20" t="s">
        <v>117</v>
      </c>
      <c r="G100" s="2" t="s">
        <v>18</v>
      </c>
      <c r="H100" s="3">
        <v>23</v>
      </c>
      <c r="I100" s="4">
        <v>7.75</v>
      </c>
      <c r="J100" s="5">
        <f t="shared" si="5"/>
        <v>178.25</v>
      </c>
      <c r="K100" s="6">
        <v>0.1</v>
      </c>
      <c r="L100" s="5">
        <f t="shared" si="6"/>
        <v>0</v>
      </c>
      <c r="M100" s="4">
        <v>1</v>
      </c>
      <c r="N100" s="5">
        <f t="shared" si="7"/>
        <v>0</v>
      </c>
      <c r="O100" s="5">
        <f t="shared" si="8"/>
        <v>0</v>
      </c>
      <c r="P100" s="2" t="s">
        <v>22</v>
      </c>
    </row>
    <row r="101" spans="1:16" x14ac:dyDescent="0.3">
      <c r="A101" s="2">
        <f t="shared" si="9"/>
        <v>20250100</v>
      </c>
      <c r="B101" s="25">
        <v>45663</v>
      </c>
      <c r="C101" s="2" t="s">
        <v>486</v>
      </c>
      <c r="D101" s="2" t="s">
        <v>16</v>
      </c>
      <c r="E101" s="20" t="s">
        <v>592</v>
      </c>
      <c r="F101" s="20" t="s">
        <v>118</v>
      </c>
      <c r="G101" s="2" t="s">
        <v>43</v>
      </c>
      <c r="H101" s="3">
        <v>19</v>
      </c>
      <c r="I101" s="4">
        <v>18.739999999999998</v>
      </c>
      <c r="J101" s="5">
        <f t="shared" si="5"/>
        <v>356.05999999999995</v>
      </c>
      <c r="K101" s="6">
        <v>0.05</v>
      </c>
      <c r="L101" s="5">
        <f t="shared" si="6"/>
        <v>338.25699999999995</v>
      </c>
      <c r="M101" s="4">
        <v>3</v>
      </c>
      <c r="N101" s="5">
        <f t="shared" si="7"/>
        <v>57</v>
      </c>
      <c r="O101" s="5">
        <f t="shared" si="8"/>
        <v>281.25699999999995</v>
      </c>
      <c r="P101" s="2" t="s">
        <v>19</v>
      </c>
    </row>
    <row r="102" spans="1:16" x14ac:dyDescent="0.3">
      <c r="A102" s="2">
        <f t="shared" si="9"/>
        <v>20250101</v>
      </c>
      <c r="B102" s="25">
        <v>45663</v>
      </c>
      <c r="C102" s="2" t="s">
        <v>486</v>
      </c>
      <c r="D102" s="2" t="s">
        <v>24</v>
      </c>
      <c r="E102" s="20" t="s">
        <v>593</v>
      </c>
      <c r="F102" s="20" t="s">
        <v>119</v>
      </c>
      <c r="G102" s="2" t="s">
        <v>43</v>
      </c>
      <c r="H102" s="3">
        <v>20</v>
      </c>
      <c r="I102" s="4">
        <v>15.19</v>
      </c>
      <c r="J102" s="5">
        <f t="shared" si="5"/>
        <v>303.8</v>
      </c>
      <c r="K102" s="6">
        <v>0.02</v>
      </c>
      <c r="L102" s="5">
        <f t="shared" si="6"/>
        <v>0</v>
      </c>
      <c r="M102" s="4">
        <v>3</v>
      </c>
      <c r="N102" s="5">
        <f t="shared" si="7"/>
        <v>0</v>
      </c>
      <c r="O102" s="5">
        <f t="shared" si="8"/>
        <v>0</v>
      </c>
      <c r="P102" s="2" t="s">
        <v>22</v>
      </c>
    </row>
    <row r="103" spans="1:16" x14ac:dyDescent="0.3">
      <c r="A103" s="2">
        <f t="shared" si="9"/>
        <v>20250102</v>
      </c>
      <c r="B103" s="25">
        <v>45663</v>
      </c>
      <c r="C103" s="2" t="s">
        <v>486</v>
      </c>
      <c r="D103" s="2" t="s">
        <v>16</v>
      </c>
      <c r="E103" s="20" t="s">
        <v>594</v>
      </c>
      <c r="F103" s="20" t="s">
        <v>120</v>
      </c>
      <c r="G103" s="2" t="s">
        <v>32</v>
      </c>
      <c r="H103" s="3">
        <v>21</v>
      </c>
      <c r="I103" s="4">
        <v>18.25</v>
      </c>
      <c r="J103" s="5">
        <f t="shared" si="5"/>
        <v>383.25</v>
      </c>
      <c r="K103" s="6">
        <v>0</v>
      </c>
      <c r="L103" s="5">
        <f t="shared" si="6"/>
        <v>383.25</v>
      </c>
      <c r="M103" s="4">
        <v>9.5</v>
      </c>
      <c r="N103" s="5">
        <f t="shared" si="7"/>
        <v>199.5</v>
      </c>
      <c r="O103" s="5">
        <f t="shared" si="8"/>
        <v>183.75</v>
      </c>
      <c r="P103" s="2" t="s">
        <v>19</v>
      </c>
    </row>
    <row r="104" spans="1:16" x14ac:dyDescent="0.3">
      <c r="A104" s="2">
        <f t="shared" si="9"/>
        <v>20250103</v>
      </c>
      <c r="B104" s="25">
        <v>45663</v>
      </c>
      <c r="C104" s="2" t="s">
        <v>486</v>
      </c>
      <c r="D104" s="2" t="s">
        <v>24</v>
      </c>
      <c r="E104" s="20" t="s">
        <v>595</v>
      </c>
      <c r="F104" s="20" t="s">
        <v>935</v>
      </c>
      <c r="G104" s="2" t="s">
        <v>27</v>
      </c>
      <c r="H104" s="3">
        <v>10</v>
      </c>
      <c r="I104" s="4">
        <v>53.42</v>
      </c>
      <c r="J104" s="5">
        <f t="shared" si="5"/>
        <v>534.20000000000005</v>
      </c>
      <c r="K104" s="6">
        <v>0.03</v>
      </c>
      <c r="L104" s="5">
        <f t="shared" si="6"/>
        <v>0</v>
      </c>
      <c r="M104" s="4">
        <v>24</v>
      </c>
      <c r="N104" s="5">
        <f t="shared" si="7"/>
        <v>0</v>
      </c>
      <c r="O104" s="5">
        <f t="shared" si="8"/>
        <v>0</v>
      </c>
      <c r="P104" s="2" t="s">
        <v>22</v>
      </c>
    </row>
    <row r="105" spans="1:16" x14ac:dyDescent="0.3">
      <c r="A105" s="2">
        <f t="shared" si="9"/>
        <v>20250104</v>
      </c>
      <c r="B105" s="25">
        <v>45664</v>
      </c>
      <c r="C105" s="2" t="s">
        <v>486</v>
      </c>
      <c r="D105" s="2" t="s">
        <v>24</v>
      </c>
      <c r="E105" s="20" t="s">
        <v>596</v>
      </c>
      <c r="F105" s="20" t="s">
        <v>121</v>
      </c>
      <c r="G105" s="2" t="s">
        <v>27</v>
      </c>
      <c r="H105" s="3">
        <v>9</v>
      </c>
      <c r="I105" s="4">
        <v>43.75</v>
      </c>
      <c r="J105" s="5">
        <f t="shared" si="5"/>
        <v>393.75</v>
      </c>
      <c r="K105" s="6">
        <v>0.03</v>
      </c>
      <c r="L105" s="5">
        <f t="shared" si="6"/>
        <v>381.9375</v>
      </c>
      <c r="M105" s="4">
        <v>24</v>
      </c>
      <c r="N105" s="5">
        <f t="shared" si="7"/>
        <v>216</v>
      </c>
      <c r="O105" s="5">
        <f t="shared" si="8"/>
        <v>165.9375</v>
      </c>
      <c r="P105" s="2" t="s">
        <v>19</v>
      </c>
    </row>
    <row r="106" spans="1:16" x14ac:dyDescent="0.3">
      <c r="A106" s="2">
        <f t="shared" si="9"/>
        <v>20250105</v>
      </c>
      <c r="B106" s="25">
        <v>45664</v>
      </c>
      <c r="C106" s="2" t="s">
        <v>486</v>
      </c>
      <c r="D106" s="2" t="s">
        <v>28</v>
      </c>
      <c r="E106" s="20" t="s">
        <v>597</v>
      </c>
      <c r="F106" s="20" t="s">
        <v>122</v>
      </c>
      <c r="G106" s="2" t="s">
        <v>21</v>
      </c>
      <c r="H106" s="3">
        <v>106</v>
      </c>
      <c r="I106" s="4">
        <v>29.88</v>
      </c>
      <c r="J106" s="5">
        <f t="shared" si="5"/>
        <v>3167.2799999999997</v>
      </c>
      <c r="K106" s="6">
        <v>0.12</v>
      </c>
      <c r="L106" s="5">
        <f t="shared" si="6"/>
        <v>2787.2063999999996</v>
      </c>
      <c r="M106" s="4">
        <v>15</v>
      </c>
      <c r="N106" s="5">
        <f t="shared" si="7"/>
        <v>1590</v>
      </c>
      <c r="O106" s="5">
        <f t="shared" si="8"/>
        <v>1197.2063999999996</v>
      </c>
      <c r="P106" s="2" t="s">
        <v>19</v>
      </c>
    </row>
    <row r="107" spans="1:16" x14ac:dyDescent="0.3">
      <c r="A107" s="2">
        <f t="shared" si="9"/>
        <v>20250106</v>
      </c>
      <c r="B107" s="25">
        <v>45664</v>
      </c>
      <c r="C107" s="2" t="s">
        <v>486</v>
      </c>
      <c r="D107" s="2" t="s">
        <v>16</v>
      </c>
      <c r="E107" s="20" t="s">
        <v>598</v>
      </c>
      <c r="F107" s="20" t="s">
        <v>123</v>
      </c>
      <c r="G107" s="2" t="s">
        <v>43</v>
      </c>
      <c r="H107" s="3">
        <v>15</v>
      </c>
      <c r="I107" s="4">
        <v>14.26</v>
      </c>
      <c r="J107" s="5">
        <f t="shared" si="5"/>
        <v>213.9</v>
      </c>
      <c r="K107" s="6">
        <v>0.02</v>
      </c>
      <c r="L107" s="5">
        <f t="shared" si="6"/>
        <v>209.62200000000001</v>
      </c>
      <c r="M107" s="4">
        <v>3</v>
      </c>
      <c r="N107" s="5">
        <f t="shared" si="7"/>
        <v>45</v>
      </c>
      <c r="O107" s="5">
        <f t="shared" si="8"/>
        <v>164.62200000000001</v>
      </c>
      <c r="P107" s="2" t="s">
        <v>19</v>
      </c>
    </row>
    <row r="108" spans="1:16" x14ac:dyDescent="0.3">
      <c r="A108" s="2">
        <f t="shared" si="9"/>
        <v>20250107</v>
      </c>
      <c r="B108" s="25">
        <v>45664</v>
      </c>
      <c r="C108" s="2" t="s">
        <v>486</v>
      </c>
      <c r="D108" s="2" t="s">
        <v>16</v>
      </c>
      <c r="E108" s="20" t="s">
        <v>599</v>
      </c>
      <c r="F108" s="20" t="s">
        <v>124</v>
      </c>
      <c r="G108" s="2" t="s">
        <v>18</v>
      </c>
      <c r="H108" s="3">
        <v>1</v>
      </c>
      <c r="I108" s="4">
        <v>9.9</v>
      </c>
      <c r="J108" s="5">
        <f t="shared" si="5"/>
        <v>9.9</v>
      </c>
      <c r="K108" s="6">
        <v>0.05</v>
      </c>
      <c r="L108" s="5">
        <f t="shared" si="6"/>
        <v>9.4049999999999994</v>
      </c>
      <c r="M108" s="4">
        <v>1</v>
      </c>
      <c r="N108" s="5">
        <f t="shared" si="7"/>
        <v>1</v>
      </c>
      <c r="O108" s="5">
        <f t="shared" si="8"/>
        <v>8.4049999999999994</v>
      </c>
      <c r="P108" s="2" t="s">
        <v>19</v>
      </c>
    </row>
    <row r="109" spans="1:16" x14ac:dyDescent="0.3">
      <c r="A109" s="2">
        <f t="shared" si="9"/>
        <v>20250108</v>
      </c>
      <c r="B109" s="25">
        <v>45664</v>
      </c>
      <c r="C109" s="2" t="s">
        <v>486</v>
      </c>
      <c r="D109" s="2" t="s">
        <v>24</v>
      </c>
      <c r="E109" s="20" t="s">
        <v>600</v>
      </c>
      <c r="F109" s="20" t="s">
        <v>125</v>
      </c>
      <c r="G109" s="2" t="s">
        <v>43</v>
      </c>
      <c r="H109" s="3">
        <v>5</v>
      </c>
      <c r="I109" s="4">
        <v>14.72</v>
      </c>
      <c r="J109" s="5">
        <f t="shared" si="5"/>
        <v>73.600000000000009</v>
      </c>
      <c r="K109" s="6">
        <v>0</v>
      </c>
      <c r="L109" s="5">
        <f t="shared" si="6"/>
        <v>73.600000000000009</v>
      </c>
      <c r="M109" s="4">
        <v>3</v>
      </c>
      <c r="N109" s="5">
        <f t="shared" si="7"/>
        <v>15</v>
      </c>
      <c r="O109" s="5">
        <f t="shared" si="8"/>
        <v>58.600000000000009</v>
      </c>
      <c r="P109" s="2" t="s">
        <v>19</v>
      </c>
    </row>
    <row r="110" spans="1:16" x14ac:dyDescent="0.3">
      <c r="A110" s="2">
        <f t="shared" si="9"/>
        <v>20250109</v>
      </c>
      <c r="B110" s="25">
        <v>45664</v>
      </c>
      <c r="C110" s="2" t="s">
        <v>486</v>
      </c>
      <c r="D110" s="2" t="s">
        <v>16</v>
      </c>
      <c r="E110" s="20" t="s">
        <v>601</v>
      </c>
      <c r="F110" s="20" t="s">
        <v>126</v>
      </c>
      <c r="G110" s="2" t="s">
        <v>21</v>
      </c>
      <c r="H110" s="3">
        <v>15</v>
      </c>
      <c r="I110" s="4">
        <v>34.31</v>
      </c>
      <c r="J110" s="5">
        <f t="shared" si="5"/>
        <v>514.65000000000009</v>
      </c>
      <c r="K110" s="6">
        <v>7.0000000000000007E-2</v>
      </c>
      <c r="L110" s="5">
        <f t="shared" si="6"/>
        <v>478.62450000000007</v>
      </c>
      <c r="M110" s="4">
        <v>15</v>
      </c>
      <c r="N110" s="5">
        <f t="shared" si="7"/>
        <v>225</v>
      </c>
      <c r="O110" s="5">
        <f t="shared" si="8"/>
        <v>253.62450000000007</v>
      </c>
      <c r="P110" s="2" t="s">
        <v>19</v>
      </c>
    </row>
    <row r="111" spans="1:16" x14ac:dyDescent="0.3">
      <c r="A111" s="2">
        <f t="shared" si="9"/>
        <v>20250110</v>
      </c>
      <c r="B111" s="25">
        <v>45664</v>
      </c>
      <c r="C111" s="2" t="s">
        <v>486</v>
      </c>
      <c r="D111" s="2" t="s">
        <v>16</v>
      </c>
      <c r="E111" s="20" t="s">
        <v>602</v>
      </c>
      <c r="F111" s="20" t="s">
        <v>127</v>
      </c>
      <c r="G111" s="2" t="s">
        <v>43</v>
      </c>
      <c r="H111" s="3">
        <v>9</v>
      </c>
      <c r="I111" s="4">
        <v>15.84</v>
      </c>
      <c r="J111" s="5">
        <f t="shared" si="5"/>
        <v>142.56</v>
      </c>
      <c r="K111" s="6">
        <v>0.05</v>
      </c>
      <c r="L111" s="5">
        <f t="shared" si="6"/>
        <v>0</v>
      </c>
      <c r="M111" s="4">
        <v>3</v>
      </c>
      <c r="N111" s="5">
        <f t="shared" si="7"/>
        <v>0</v>
      </c>
      <c r="O111" s="5">
        <f t="shared" si="8"/>
        <v>0</v>
      </c>
      <c r="P111" s="2" t="s">
        <v>22</v>
      </c>
    </row>
    <row r="112" spans="1:16" x14ac:dyDescent="0.3">
      <c r="A112" s="2">
        <f t="shared" si="9"/>
        <v>20250111</v>
      </c>
      <c r="B112" s="25">
        <v>45664</v>
      </c>
      <c r="C112" s="2" t="s">
        <v>486</v>
      </c>
      <c r="D112" s="2" t="s">
        <v>16</v>
      </c>
      <c r="E112" s="20" t="s">
        <v>603</v>
      </c>
      <c r="F112" s="20" t="s">
        <v>128</v>
      </c>
      <c r="G112" s="2" t="s">
        <v>18</v>
      </c>
      <c r="H112" s="3">
        <v>2</v>
      </c>
      <c r="I112" s="4">
        <v>8.65</v>
      </c>
      <c r="J112" s="5">
        <f t="shared" si="5"/>
        <v>17.3</v>
      </c>
      <c r="K112" s="6">
        <v>0.03</v>
      </c>
      <c r="L112" s="5">
        <f t="shared" si="6"/>
        <v>16.780999999999999</v>
      </c>
      <c r="M112" s="4">
        <v>1</v>
      </c>
      <c r="N112" s="5">
        <f t="shared" si="7"/>
        <v>2</v>
      </c>
      <c r="O112" s="5">
        <f t="shared" si="8"/>
        <v>14.780999999999999</v>
      </c>
      <c r="P112" s="2" t="s">
        <v>19</v>
      </c>
    </row>
    <row r="113" spans="1:16" x14ac:dyDescent="0.3">
      <c r="A113" s="2">
        <f t="shared" si="9"/>
        <v>20250112</v>
      </c>
      <c r="B113" s="25">
        <v>45664</v>
      </c>
      <c r="C113" s="2" t="s">
        <v>486</v>
      </c>
      <c r="D113" s="2" t="s">
        <v>16</v>
      </c>
      <c r="E113" s="20" t="s">
        <v>604</v>
      </c>
      <c r="F113" s="20" t="s">
        <v>129</v>
      </c>
      <c r="G113" s="2" t="s">
        <v>43</v>
      </c>
      <c r="H113" s="3">
        <v>2</v>
      </c>
      <c r="I113" s="4">
        <v>19.23</v>
      </c>
      <c r="J113" s="5">
        <f t="shared" si="5"/>
        <v>38.46</v>
      </c>
      <c r="K113" s="6">
        <v>0</v>
      </c>
      <c r="L113" s="5">
        <f t="shared" si="6"/>
        <v>0</v>
      </c>
      <c r="M113" s="4">
        <v>3</v>
      </c>
      <c r="N113" s="5">
        <f t="shared" si="7"/>
        <v>0</v>
      </c>
      <c r="O113" s="5">
        <f t="shared" si="8"/>
        <v>0</v>
      </c>
      <c r="P113" s="2" t="s">
        <v>22</v>
      </c>
    </row>
    <row r="114" spans="1:16" x14ac:dyDescent="0.3">
      <c r="A114" s="2">
        <f t="shared" si="9"/>
        <v>20250113</v>
      </c>
      <c r="B114" s="25">
        <v>45664</v>
      </c>
      <c r="C114" s="2" t="s">
        <v>486</v>
      </c>
      <c r="D114" s="2" t="s">
        <v>28</v>
      </c>
      <c r="E114" s="20" t="s">
        <v>605</v>
      </c>
      <c r="F114" s="20" t="s">
        <v>130</v>
      </c>
      <c r="G114" s="2" t="s">
        <v>21</v>
      </c>
      <c r="H114" s="3">
        <v>8</v>
      </c>
      <c r="I114" s="4">
        <v>30.63</v>
      </c>
      <c r="J114" s="5">
        <f t="shared" si="5"/>
        <v>245.04</v>
      </c>
      <c r="K114" s="6">
        <v>0.08</v>
      </c>
      <c r="L114" s="5">
        <f t="shared" si="6"/>
        <v>225.43680000000001</v>
      </c>
      <c r="M114" s="4">
        <v>15</v>
      </c>
      <c r="N114" s="5">
        <f t="shared" si="7"/>
        <v>120</v>
      </c>
      <c r="O114" s="5">
        <f t="shared" si="8"/>
        <v>105.43680000000001</v>
      </c>
      <c r="P114" s="2" t="s">
        <v>19</v>
      </c>
    </row>
    <row r="115" spans="1:16" x14ac:dyDescent="0.3">
      <c r="A115" s="2">
        <f t="shared" si="9"/>
        <v>20250114</v>
      </c>
      <c r="B115" s="25">
        <v>45664</v>
      </c>
      <c r="C115" s="2" t="s">
        <v>486</v>
      </c>
      <c r="D115" s="2" t="s">
        <v>16</v>
      </c>
      <c r="E115" s="20" t="s">
        <v>606</v>
      </c>
      <c r="F115" s="20" t="s">
        <v>131</v>
      </c>
      <c r="G115" s="2" t="s">
        <v>32</v>
      </c>
      <c r="H115" s="3">
        <v>4</v>
      </c>
      <c r="I115" s="4">
        <v>16.61</v>
      </c>
      <c r="J115" s="5">
        <f t="shared" si="5"/>
        <v>66.44</v>
      </c>
      <c r="K115" s="6">
        <v>0</v>
      </c>
      <c r="L115" s="5">
        <f t="shared" si="6"/>
        <v>0</v>
      </c>
      <c r="M115" s="4">
        <v>9.5</v>
      </c>
      <c r="N115" s="5">
        <f t="shared" si="7"/>
        <v>0</v>
      </c>
      <c r="O115" s="5">
        <f t="shared" si="8"/>
        <v>0</v>
      </c>
      <c r="P115" s="2" t="s">
        <v>22</v>
      </c>
    </row>
    <row r="116" spans="1:16" x14ac:dyDescent="0.3">
      <c r="A116" s="2">
        <f t="shared" si="9"/>
        <v>20250115</v>
      </c>
      <c r="B116" s="25">
        <v>45664</v>
      </c>
      <c r="C116" s="2" t="s">
        <v>486</v>
      </c>
      <c r="D116" s="2" t="s">
        <v>28</v>
      </c>
      <c r="E116" s="20" t="s">
        <v>607</v>
      </c>
      <c r="F116" s="20" t="s">
        <v>132</v>
      </c>
      <c r="G116" s="2" t="s">
        <v>32</v>
      </c>
      <c r="H116" s="3">
        <v>6</v>
      </c>
      <c r="I116" s="4">
        <v>15.56</v>
      </c>
      <c r="J116" s="5">
        <f t="shared" si="5"/>
        <v>93.36</v>
      </c>
      <c r="K116" s="6">
        <v>0.08</v>
      </c>
      <c r="L116" s="5">
        <f t="shared" si="6"/>
        <v>85.891199999999998</v>
      </c>
      <c r="M116" s="4">
        <v>9.5</v>
      </c>
      <c r="N116" s="5">
        <f t="shared" si="7"/>
        <v>57</v>
      </c>
      <c r="O116" s="5">
        <f t="shared" si="8"/>
        <v>28.891199999999998</v>
      </c>
      <c r="P116" s="2" t="s">
        <v>19</v>
      </c>
    </row>
    <row r="117" spans="1:16" x14ac:dyDescent="0.3">
      <c r="A117" s="2">
        <f t="shared" si="9"/>
        <v>20250116</v>
      </c>
      <c r="B117" s="25">
        <v>45665</v>
      </c>
      <c r="C117" s="2" t="s">
        <v>486</v>
      </c>
      <c r="D117" s="2" t="s">
        <v>28</v>
      </c>
      <c r="E117" s="20" t="s">
        <v>608</v>
      </c>
      <c r="F117" s="20" t="s">
        <v>133</v>
      </c>
      <c r="G117" s="2" t="s">
        <v>21</v>
      </c>
      <c r="H117" s="3">
        <v>75</v>
      </c>
      <c r="I117" s="4">
        <v>26.06</v>
      </c>
      <c r="J117" s="5">
        <f t="shared" si="5"/>
        <v>1954.5</v>
      </c>
      <c r="K117" s="6">
        <v>0.12</v>
      </c>
      <c r="L117" s="5">
        <f t="shared" si="6"/>
        <v>1719.96</v>
      </c>
      <c r="M117" s="4">
        <v>15</v>
      </c>
      <c r="N117" s="5">
        <f t="shared" si="7"/>
        <v>1125</v>
      </c>
      <c r="O117" s="5">
        <f t="shared" si="8"/>
        <v>594.96</v>
      </c>
      <c r="P117" s="2" t="s">
        <v>19</v>
      </c>
    </row>
    <row r="118" spans="1:16" x14ac:dyDescent="0.3">
      <c r="A118" s="2">
        <f t="shared" si="9"/>
        <v>20250117</v>
      </c>
      <c r="B118" s="25">
        <v>45665</v>
      </c>
      <c r="C118" s="2" t="s">
        <v>486</v>
      </c>
      <c r="D118" s="2" t="s">
        <v>28</v>
      </c>
      <c r="E118" s="20" t="s">
        <v>609</v>
      </c>
      <c r="F118" s="20" t="s">
        <v>134</v>
      </c>
      <c r="G118" s="2" t="s">
        <v>21</v>
      </c>
      <c r="H118" s="3">
        <v>21</v>
      </c>
      <c r="I118" s="4">
        <v>25.66</v>
      </c>
      <c r="J118" s="5">
        <f t="shared" si="5"/>
        <v>538.86</v>
      </c>
      <c r="K118" s="6">
        <v>0.05</v>
      </c>
      <c r="L118" s="5">
        <f t="shared" si="6"/>
        <v>511.91699999999997</v>
      </c>
      <c r="M118" s="4">
        <v>15</v>
      </c>
      <c r="N118" s="5">
        <f t="shared" si="7"/>
        <v>315</v>
      </c>
      <c r="O118" s="5">
        <f t="shared" si="8"/>
        <v>196.91699999999997</v>
      </c>
      <c r="P118" s="2" t="s">
        <v>19</v>
      </c>
    </row>
    <row r="119" spans="1:16" x14ac:dyDescent="0.3">
      <c r="A119" s="2">
        <f t="shared" si="9"/>
        <v>20250118</v>
      </c>
      <c r="B119" s="25">
        <v>45665</v>
      </c>
      <c r="C119" s="2" t="s">
        <v>486</v>
      </c>
      <c r="D119" s="2" t="s">
        <v>28</v>
      </c>
      <c r="E119" s="20" t="s">
        <v>610</v>
      </c>
      <c r="F119" s="20" t="s">
        <v>135</v>
      </c>
      <c r="G119" s="2" t="s">
        <v>21</v>
      </c>
      <c r="H119" s="3">
        <v>20</v>
      </c>
      <c r="I119" s="4">
        <v>28.54</v>
      </c>
      <c r="J119" s="5">
        <f t="shared" si="5"/>
        <v>570.79999999999995</v>
      </c>
      <c r="K119" s="6">
        <v>0.08</v>
      </c>
      <c r="L119" s="5">
        <f t="shared" si="6"/>
        <v>525.13599999999997</v>
      </c>
      <c r="M119" s="4">
        <v>15</v>
      </c>
      <c r="N119" s="5">
        <f t="shared" si="7"/>
        <v>300</v>
      </c>
      <c r="O119" s="5">
        <f t="shared" si="8"/>
        <v>225.13599999999997</v>
      </c>
      <c r="P119" s="2" t="s">
        <v>19</v>
      </c>
    </row>
    <row r="120" spans="1:16" x14ac:dyDescent="0.3">
      <c r="A120" s="2">
        <f t="shared" si="9"/>
        <v>20250119</v>
      </c>
      <c r="B120" s="25">
        <v>45665</v>
      </c>
      <c r="C120" s="2" t="s">
        <v>486</v>
      </c>
      <c r="D120" s="2" t="s">
        <v>28</v>
      </c>
      <c r="E120" s="20" t="s">
        <v>611</v>
      </c>
      <c r="F120" s="20" t="s">
        <v>136</v>
      </c>
      <c r="G120" s="2" t="s">
        <v>27</v>
      </c>
      <c r="H120" s="3">
        <v>20</v>
      </c>
      <c r="I120" s="4">
        <v>37.44</v>
      </c>
      <c r="J120" s="5">
        <f t="shared" si="5"/>
        <v>748.8</v>
      </c>
      <c r="K120" s="6">
        <v>0.12</v>
      </c>
      <c r="L120" s="5">
        <f t="shared" si="6"/>
        <v>658.94399999999996</v>
      </c>
      <c r="M120" s="4">
        <v>24</v>
      </c>
      <c r="N120" s="5">
        <f t="shared" si="7"/>
        <v>480</v>
      </c>
      <c r="O120" s="5">
        <f t="shared" si="8"/>
        <v>178.94399999999996</v>
      </c>
      <c r="P120" s="2" t="s">
        <v>19</v>
      </c>
    </row>
    <row r="121" spans="1:16" x14ac:dyDescent="0.3">
      <c r="A121" s="2">
        <f t="shared" si="9"/>
        <v>20250120</v>
      </c>
      <c r="B121" s="25">
        <v>45665</v>
      </c>
      <c r="C121" s="2" t="s">
        <v>486</v>
      </c>
      <c r="D121" s="2" t="s">
        <v>28</v>
      </c>
      <c r="E121" s="20" t="s">
        <v>612</v>
      </c>
      <c r="F121" s="20" t="s">
        <v>137</v>
      </c>
      <c r="G121" s="2" t="s">
        <v>21</v>
      </c>
      <c r="H121" s="3">
        <v>15</v>
      </c>
      <c r="I121" s="4">
        <v>30.54</v>
      </c>
      <c r="J121" s="5">
        <f t="shared" si="5"/>
        <v>458.09999999999997</v>
      </c>
      <c r="K121" s="6">
        <v>0.12</v>
      </c>
      <c r="L121" s="5">
        <f t="shared" si="6"/>
        <v>403.12799999999999</v>
      </c>
      <c r="M121" s="4">
        <v>15</v>
      </c>
      <c r="N121" s="5">
        <f t="shared" si="7"/>
        <v>225</v>
      </c>
      <c r="O121" s="5">
        <f t="shared" si="8"/>
        <v>178.12799999999999</v>
      </c>
      <c r="P121" s="2" t="s">
        <v>19</v>
      </c>
    </row>
    <row r="122" spans="1:16" x14ac:dyDescent="0.3">
      <c r="A122" s="2">
        <f t="shared" si="9"/>
        <v>20250121</v>
      </c>
      <c r="B122" s="25">
        <v>45665</v>
      </c>
      <c r="C122" s="2" t="s">
        <v>486</v>
      </c>
      <c r="D122" s="2" t="s">
        <v>16</v>
      </c>
      <c r="E122" s="20" t="s">
        <v>613</v>
      </c>
      <c r="F122" s="20" t="s">
        <v>138</v>
      </c>
      <c r="G122" s="2" t="s">
        <v>43</v>
      </c>
      <c r="H122" s="3">
        <v>11</v>
      </c>
      <c r="I122" s="4">
        <v>16.62</v>
      </c>
      <c r="J122" s="5">
        <f t="shared" si="5"/>
        <v>182.82000000000002</v>
      </c>
      <c r="K122" s="6">
        <v>0.05</v>
      </c>
      <c r="L122" s="5">
        <f t="shared" si="6"/>
        <v>0</v>
      </c>
      <c r="M122" s="4">
        <v>3</v>
      </c>
      <c r="N122" s="5">
        <f t="shared" si="7"/>
        <v>0</v>
      </c>
      <c r="O122" s="5">
        <f t="shared" si="8"/>
        <v>0</v>
      </c>
      <c r="P122" s="2" t="s">
        <v>22</v>
      </c>
    </row>
    <row r="123" spans="1:16" x14ac:dyDescent="0.3">
      <c r="A123" s="2">
        <f t="shared" si="9"/>
        <v>20250122</v>
      </c>
      <c r="B123" s="25">
        <v>45665</v>
      </c>
      <c r="C123" s="2" t="s">
        <v>486</v>
      </c>
      <c r="D123" s="2" t="s">
        <v>16</v>
      </c>
      <c r="E123" s="20" t="s">
        <v>614</v>
      </c>
      <c r="F123" s="20" t="s">
        <v>139</v>
      </c>
      <c r="G123" s="2" t="s">
        <v>21</v>
      </c>
      <c r="H123" s="3">
        <v>14</v>
      </c>
      <c r="I123" s="4">
        <v>30.96</v>
      </c>
      <c r="J123" s="5">
        <f t="shared" si="5"/>
        <v>433.44</v>
      </c>
      <c r="K123" s="6">
        <v>0.02</v>
      </c>
      <c r="L123" s="5">
        <f t="shared" si="6"/>
        <v>0</v>
      </c>
      <c r="M123" s="4">
        <v>15</v>
      </c>
      <c r="N123" s="5">
        <f t="shared" si="7"/>
        <v>0</v>
      </c>
      <c r="O123" s="5">
        <f t="shared" si="8"/>
        <v>0</v>
      </c>
      <c r="P123" s="2" t="s">
        <v>22</v>
      </c>
    </row>
    <row r="124" spans="1:16" x14ac:dyDescent="0.3">
      <c r="A124" s="2">
        <f t="shared" si="9"/>
        <v>20250123</v>
      </c>
      <c r="B124" s="25">
        <v>45665</v>
      </c>
      <c r="C124" s="2" t="s">
        <v>486</v>
      </c>
      <c r="D124" s="2" t="s">
        <v>16</v>
      </c>
      <c r="E124" s="20" t="s">
        <v>615</v>
      </c>
      <c r="F124" s="20" t="s">
        <v>140</v>
      </c>
      <c r="G124" s="2" t="s">
        <v>18</v>
      </c>
      <c r="H124" s="3">
        <v>14</v>
      </c>
      <c r="I124" s="4">
        <v>8.8000000000000007</v>
      </c>
      <c r="J124" s="5">
        <f t="shared" ref="J124:J182" si="10">H124*I124</f>
        <v>123.20000000000002</v>
      </c>
      <c r="K124" s="6">
        <v>0</v>
      </c>
      <c r="L124" s="5">
        <f t="shared" ref="L124:L182" si="11">IF(P124="Returned",0,J124*(1-K124))</f>
        <v>123.20000000000002</v>
      </c>
      <c r="M124" s="4">
        <v>1</v>
      </c>
      <c r="N124" s="5">
        <f t="shared" ref="N124:N182" si="12">IF(P124="Returned",0,H124*M124)</f>
        <v>14</v>
      </c>
      <c r="O124" s="5">
        <f t="shared" ref="O124:O182" si="13">L124-N124</f>
        <v>109.20000000000002</v>
      </c>
      <c r="P124" s="2" t="s">
        <v>19</v>
      </c>
    </row>
    <row r="125" spans="1:16" x14ac:dyDescent="0.3">
      <c r="A125" s="2">
        <f t="shared" si="9"/>
        <v>20250124</v>
      </c>
      <c r="B125" s="25">
        <v>45665</v>
      </c>
      <c r="C125" s="2" t="s">
        <v>486</v>
      </c>
      <c r="D125" s="2" t="s">
        <v>16</v>
      </c>
      <c r="E125" s="20" t="s">
        <v>616</v>
      </c>
      <c r="F125" s="20" t="s">
        <v>141</v>
      </c>
      <c r="G125" s="2" t="s">
        <v>18</v>
      </c>
      <c r="H125" s="3">
        <v>23</v>
      </c>
      <c r="I125" s="4">
        <v>11.52</v>
      </c>
      <c r="J125" s="5">
        <f t="shared" si="10"/>
        <v>264.95999999999998</v>
      </c>
      <c r="K125" s="6">
        <v>0.05</v>
      </c>
      <c r="L125" s="5">
        <f t="shared" si="11"/>
        <v>251.71199999999996</v>
      </c>
      <c r="M125" s="4">
        <v>1</v>
      </c>
      <c r="N125" s="5">
        <f t="shared" si="12"/>
        <v>23</v>
      </c>
      <c r="O125" s="5">
        <f t="shared" si="13"/>
        <v>228.71199999999996</v>
      </c>
      <c r="P125" s="2" t="s">
        <v>19</v>
      </c>
    </row>
    <row r="126" spans="1:16" x14ac:dyDescent="0.3">
      <c r="A126" s="2">
        <f t="shared" si="9"/>
        <v>20250125</v>
      </c>
      <c r="B126" s="25">
        <v>45665</v>
      </c>
      <c r="C126" s="2" t="s">
        <v>486</v>
      </c>
      <c r="D126" s="2" t="s">
        <v>28</v>
      </c>
      <c r="E126" s="20" t="s">
        <v>617</v>
      </c>
      <c r="F126" s="20" t="s">
        <v>142</v>
      </c>
      <c r="G126" s="2" t="s">
        <v>32</v>
      </c>
      <c r="H126" s="3">
        <v>5</v>
      </c>
      <c r="I126" s="4">
        <v>16.7</v>
      </c>
      <c r="J126" s="5">
        <f t="shared" si="10"/>
        <v>83.5</v>
      </c>
      <c r="K126" s="6">
        <v>0.05</v>
      </c>
      <c r="L126" s="5">
        <f t="shared" si="11"/>
        <v>79.325000000000003</v>
      </c>
      <c r="M126" s="4">
        <v>9.5</v>
      </c>
      <c r="N126" s="5">
        <f t="shared" si="12"/>
        <v>47.5</v>
      </c>
      <c r="O126" s="5">
        <f t="shared" si="13"/>
        <v>31.825000000000003</v>
      </c>
      <c r="P126" s="2" t="s">
        <v>19</v>
      </c>
    </row>
    <row r="127" spans="1:16" x14ac:dyDescent="0.3">
      <c r="A127" s="2">
        <f t="shared" si="9"/>
        <v>20250126</v>
      </c>
      <c r="B127" s="25">
        <v>45665</v>
      </c>
      <c r="C127" s="2" t="s">
        <v>486</v>
      </c>
      <c r="D127" s="2" t="s">
        <v>28</v>
      </c>
      <c r="E127" s="20" t="s">
        <v>618</v>
      </c>
      <c r="F127" s="20" t="s">
        <v>143</v>
      </c>
      <c r="G127" s="2" t="s">
        <v>43</v>
      </c>
      <c r="H127" s="3">
        <v>30</v>
      </c>
      <c r="I127" s="4">
        <v>14.55</v>
      </c>
      <c r="J127" s="5">
        <f t="shared" si="10"/>
        <v>436.5</v>
      </c>
      <c r="K127" s="6">
        <v>0.1</v>
      </c>
      <c r="L127" s="5">
        <f t="shared" si="11"/>
        <v>392.85</v>
      </c>
      <c r="M127" s="4">
        <v>3</v>
      </c>
      <c r="N127" s="5">
        <f t="shared" si="12"/>
        <v>90</v>
      </c>
      <c r="O127" s="5">
        <f t="shared" si="13"/>
        <v>302.85000000000002</v>
      </c>
      <c r="P127" s="2" t="s">
        <v>19</v>
      </c>
    </row>
    <row r="128" spans="1:16" x14ac:dyDescent="0.3">
      <c r="A128" s="2">
        <f t="shared" si="9"/>
        <v>20250127</v>
      </c>
      <c r="B128" s="25">
        <v>45665</v>
      </c>
      <c r="C128" s="2" t="s">
        <v>486</v>
      </c>
      <c r="D128" s="2" t="s">
        <v>28</v>
      </c>
      <c r="E128" s="20" t="s">
        <v>619</v>
      </c>
      <c r="F128" s="20" t="s">
        <v>144</v>
      </c>
      <c r="G128" s="2" t="s">
        <v>32</v>
      </c>
      <c r="H128" s="3">
        <v>36</v>
      </c>
      <c r="I128" s="4">
        <v>19.14</v>
      </c>
      <c r="J128" s="5">
        <f t="shared" si="10"/>
        <v>689.04</v>
      </c>
      <c r="K128" s="6">
        <v>0.08</v>
      </c>
      <c r="L128" s="5">
        <f t="shared" si="11"/>
        <v>0</v>
      </c>
      <c r="M128" s="4">
        <v>9.5</v>
      </c>
      <c r="N128" s="5">
        <f t="shared" si="12"/>
        <v>0</v>
      </c>
      <c r="O128" s="5">
        <f t="shared" si="13"/>
        <v>0</v>
      </c>
      <c r="P128" s="2" t="s">
        <v>22</v>
      </c>
    </row>
    <row r="129" spans="1:16" x14ac:dyDescent="0.3">
      <c r="A129" s="2">
        <f t="shared" si="9"/>
        <v>20250128</v>
      </c>
      <c r="B129" s="25">
        <v>45665</v>
      </c>
      <c r="C129" s="2" t="s">
        <v>486</v>
      </c>
      <c r="D129" s="2" t="s">
        <v>16</v>
      </c>
      <c r="E129" s="20" t="s">
        <v>620</v>
      </c>
      <c r="F129" s="20" t="s">
        <v>145</v>
      </c>
      <c r="G129" s="2" t="s">
        <v>18</v>
      </c>
      <c r="H129" s="3">
        <v>24</v>
      </c>
      <c r="I129" s="4">
        <v>10.34</v>
      </c>
      <c r="J129" s="5">
        <f t="shared" si="10"/>
        <v>248.16</v>
      </c>
      <c r="K129" s="6">
        <v>0.03</v>
      </c>
      <c r="L129" s="5">
        <f t="shared" si="11"/>
        <v>240.71519999999998</v>
      </c>
      <c r="M129" s="4">
        <v>1</v>
      </c>
      <c r="N129" s="5">
        <f t="shared" si="12"/>
        <v>24</v>
      </c>
      <c r="O129" s="5">
        <f t="shared" si="13"/>
        <v>216.71519999999998</v>
      </c>
      <c r="P129" s="2" t="s">
        <v>19</v>
      </c>
    </row>
    <row r="130" spans="1:16" x14ac:dyDescent="0.3">
      <c r="A130" s="2">
        <f t="shared" si="9"/>
        <v>20250129</v>
      </c>
      <c r="B130" s="25">
        <v>45665</v>
      </c>
      <c r="C130" s="2" t="s">
        <v>486</v>
      </c>
      <c r="D130" s="2" t="s">
        <v>28</v>
      </c>
      <c r="E130" s="20" t="s">
        <v>621</v>
      </c>
      <c r="F130" s="20" t="s">
        <v>936</v>
      </c>
      <c r="G130" s="2" t="s">
        <v>27</v>
      </c>
      <c r="H130" s="3">
        <v>13</v>
      </c>
      <c r="I130" s="4">
        <v>42.6</v>
      </c>
      <c r="J130" s="5">
        <f t="shared" si="10"/>
        <v>553.80000000000007</v>
      </c>
      <c r="K130" s="6">
        <v>0.05</v>
      </c>
      <c r="L130" s="5">
        <f t="shared" si="11"/>
        <v>526.11</v>
      </c>
      <c r="M130" s="4">
        <v>24</v>
      </c>
      <c r="N130" s="5">
        <f t="shared" si="12"/>
        <v>312</v>
      </c>
      <c r="O130" s="5">
        <f t="shared" si="13"/>
        <v>214.11</v>
      </c>
      <c r="P130" s="2" t="s">
        <v>19</v>
      </c>
    </row>
    <row r="131" spans="1:16" x14ac:dyDescent="0.3">
      <c r="A131" s="2">
        <f t="shared" si="9"/>
        <v>20250130</v>
      </c>
      <c r="B131" s="25">
        <v>45665</v>
      </c>
      <c r="C131" s="2" t="s">
        <v>486</v>
      </c>
      <c r="D131" s="2" t="s">
        <v>28</v>
      </c>
      <c r="E131" s="20" t="s">
        <v>597</v>
      </c>
      <c r="F131" s="20" t="s">
        <v>146</v>
      </c>
      <c r="G131" s="2" t="s">
        <v>18</v>
      </c>
      <c r="H131" s="3">
        <v>23</v>
      </c>
      <c r="I131" s="4">
        <v>7.86</v>
      </c>
      <c r="J131" s="5">
        <f t="shared" si="10"/>
        <v>180.78</v>
      </c>
      <c r="K131" s="6">
        <v>0.1</v>
      </c>
      <c r="L131" s="5">
        <f t="shared" si="11"/>
        <v>162.702</v>
      </c>
      <c r="M131" s="4">
        <v>1</v>
      </c>
      <c r="N131" s="5">
        <f t="shared" si="12"/>
        <v>23</v>
      </c>
      <c r="O131" s="5">
        <f t="shared" si="13"/>
        <v>139.702</v>
      </c>
      <c r="P131" s="2" t="s">
        <v>19</v>
      </c>
    </row>
    <row r="132" spans="1:16" x14ac:dyDescent="0.3">
      <c r="A132" s="2">
        <f t="shared" ref="A132:A195" si="14">A131+1</f>
        <v>20250131</v>
      </c>
      <c r="B132" s="25">
        <v>45665</v>
      </c>
      <c r="C132" s="2" t="s">
        <v>486</v>
      </c>
      <c r="D132" s="2" t="s">
        <v>28</v>
      </c>
      <c r="E132" s="20" t="s">
        <v>622</v>
      </c>
      <c r="F132" s="20" t="s">
        <v>147</v>
      </c>
      <c r="G132" s="2" t="s">
        <v>32</v>
      </c>
      <c r="H132" s="3">
        <v>3</v>
      </c>
      <c r="I132" s="4">
        <v>17.95</v>
      </c>
      <c r="J132" s="5">
        <f t="shared" si="10"/>
        <v>53.849999999999994</v>
      </c>
      <c r="K132" s="6">
        <v>0.05</v>
      </c>
      <c r="L132" s="5">
        <f t="shared" si="11"/>
        <v>0</v>
      </c>
      <c r="M132" s="4">
        <v>9.5</v>
      </c>
      <c r="N132" s="5">
        <f t="shared" si="12"/>
        <v>0</v>
      </c>
      <c r="O132" s="5">
        <f t="shared" si="13"/>
        <v>0</v>
      </c>
      <c r="P132" s="2" t="s">
        <v>22</v>
      </c>
    </row>
    <row r="133" spans="1:16" x14ac:dyDescent="0.3">
      <c r="A133" s="2">
        <f t="shared" si="14"/>
        <v>20250132</v>
      </c>
      <c r="B133" s="25">
        <v>45666</v>
      </c>
      <c r="C133" s="2" t="s">
        <v>486</v>
      </c>
      <c r="D133" s="2" t="s">
        <v>16</v>
      </c>
      <c r="E133" s="20" t="s">
        <v>623</v>
      </c>
      <c r="F133" s="20" t="s">
        <v>148</v>
      </c>
      <c r="G133" s="2" t="s">
        <v>27</v>
      </c>
      <c r="H133" s="3">
        <v>24</v>
      </c>
      <c r="I133" s="4">
        <v>44.96</v>
      </c>
      <c r="J133" s="5">
        <f t="shared" si="10"/>
        <v>1079.04</v>
      </c>
      <c r="K133" s="6">
        <v>0.05</v>
      </c>
      <c r="L133" s="5">
        <f t="shared" si="11"/>
        <v>0</v>
      </c>
      <c r="M133" s="4">
        <v>24</v>
      </c>
      <c r="N133" s="5">
        <f t="shared" si="12"/>
        <v>0</v>
      </c>
      <c r="O133" s="5">
        <f t="shared" si="13"/>
        <v>0</v>
      </c>
      <c r="P133" s="2" t="s">
        <v>22</v>
      </c>
    </row>
    <row r="134" spans="1:16" x14ac:dyDescent="0.3">
      <c r="A134" s="2">
        <f t="shared" si="14"/>
        <v>20250133</v>
      </c>
      <c r="B134" s="25">
        <v>45666</v>
      </c>
      <c r="C134" s="2" t="s">
        <v>486</v>
      </c>
      <c r="D134" s="2" t="s">
        <v>28</v>
      </c>
      <c r="E134" s="20" t="s">
        <v>624</v>
      </c>
      <c r="F134" s="20" t="s">
        <v>149</v>
      </c>
      <c r="G134" s="2" t="s">
        <v>21</v>
      </c>
      <c r="H134" s="3">
        <v>12</v>
      </c>
      <c r="I134" s="4">
        <v>26.61</v>
      </c>
      <c r="J134" s="5">
        <f t="shared" si="10"/>
        <v>319.32</v>
      </c>
      <c r="K134" s="6">
        <v>0.08</v>
      </c>
      <c r="L134" s="5">
        <f t="shared" si="11"/>
        <v>0</v>
      </c>
      <c r="M134" s="4">
        <v>15</v>
      </c>
      <c r="N134" s="5">
        <f t="shared" si="12"/>
        <v>0</v>
      </c>
      <c r="O134" s="5">
        <f t="shared" si="13"/>
        <v>0</v>
      </c>
      <c r="P134" s="2" t="s">
        <v>22</v>
      </c>
    </row>
    <row r="135" spans="1:16" x14ac:dyDescent="0.3">
      <c r="A135" s="2">
        <f t="shared" si="14"/>
        <v>20250134</v>
      </c>
      <c r="B135" s="25">
        <v>45666</v>
      </c>
      <c r="C135" s="2" t="s">
        <v>486</v>
      </c>
      <c r="D135" s="2" t="s">
        <v>16</v>
      </c>
      <c r="E135" s="20" t="s">
        <v>625</v>
      </c>
      <c r="F135" s="20" t="s">
        <v>937</v>
      </c>
      <c r="G135" s="2" t="s">
        <v>32</v>
      </c>
      <c r="H135" s="3">
        <v>6</v>
      </c>
      <c r="I135" s="4">
        <v>19.079999999999998</v>
      </c>
      <c r="J135" s="5">
        <f t="shared" si="10"/>
        <v>114.47999999999999</v>
      </c>
      <c r="K135" s="6">
        <v>0.03</v>
      </c>
      <c r="L135" s="5">
        <f t="shared" si="11"/>
        <v>111.04559999999999</v>
      </c>
      <c r="M135" s="4">
        <v>9.5</v>
      </c>
      <c r="N135" s="5">
        <f t="shared" si="12"/>
        <v>57</v>
      </c>
      <c r="O135" s="5">
        <f t="shared" si="13"/>
        <v>54.045599999999993</v>
      </c>
      <c r="P135" s="2" t="s">
        <v>19</v>
      </c>
    </row>
    <row r="136" spans="1:16" x14ac:dyDescent="0.3">
      <c r="A136" s="2">
        <f t="shared" si="14"/>
        <v>20250135</v>
      </c>
      <c r="B136" s="25">
        <v>45666</v>
      </c>
      <c r="C136" s="2" t="s">
        <v>486</v>
      </c>
      <c r="D136" s="2" t="s">
        <v>28</v>
      </c>
      <c r="E136" s="20" t="s">
        <v>938</v>
      </c>
      <c r="F136" s="20" t="s">
        <v>150</v>
      </c>
      <c r="G136" s="2" t="s">
        <v>27</v>
      </c>
      <c r="H136" s="3">
        <v>29</v>
      </c>
      <c r="I136" s="4">
        <v>42.03</v>
      </c>
      <c r="J136" s="5">
        <f t="shared" si="10"/>
        <v>1218.8700000000001</v>
      </c>
      <c r="K136" s="6">
        <v>0.12</v>
      </c>
      <c r="L136" s="5">
        <f t="shared" si="11"/>
        <v>1072.6056000000001</v>
      </c>
      <c r="M136" s="4">
        <v>24</v>
      </c>
      <c r="N136" s="5">
        <f t="shared" si="12"/>
        <v>696</v>
      </c>
      <c r="O136" s="5">
        <f t="shared" si="13"/>
        <v>376.60560000000009</v>
      </c>
      <c r="P136" s="2" t="s">
        <v>19</v>
      </c>
    </row>
    <row r="137" spans="1:16" x14ac:dyDescent="0.3">
      <c r="A137" s="2">
        <f t="shared" si="14"/>
        <v>20250136</v>
      </c>
      <c r="B137" s="25">
        <v>45666</v>
      </c>
      <c r="C137" s="2" t="s">
        <v>486</v>
      </c>
      <c r="D137" s="2" t="s">
        <v>28</v>
      </c>
      <c r="E137" s="20" t="s">
        <v>626</v>
      </c>
      <c r="F137" s="20" t="s">
        <v>151</v>
      </c>
      <c r="G137" s="2" t="s">
        <v>18</v>
      </c>
      <c r="H137" s="3">
        <v>17</v>
      </c>
      <c r="I137" s="4">
        <v>9.34</v>
      </c>
      <c r="J137" s="5">
        <f t="shared" si="10"/>
        <v>158.78</v>
      </c>
      <c r="K137" s="6">
        <v>0.12</v>
      </c>
      <c r="L137" s="5">
        <f t="shared" si="11"/>
        <v>139.72640000000001</v>
      </c>
      <c r="M137" s="4">
        <v>1</v>
      </c>
      <c r="N137" s="5">
        <f t="shared" si="12"/>
        <v>17</v>
      </c>
      <c r="O137" s="5">
        <f t="shared" si="13"/>
        <v>122.72640000000001</v>
      </c>
      <c r="P137" s="2" t="s">
        <v>19</v>
      </c>
    </row>
    <row r="138" spans="1:16" x14ac:dyDescent="0.3">
      <c r="A138" s="2">
        <f t="shared" si="14"/>
        <v>20250137</v>
      </c>
      <c r="B138" s="25">
        <v>45666</v>
      </c>
      <c r="C138" s="2" t="s">
        <v>486</v>
      </c>
      <c r="D138" s="2" t="s">
        <v>16</v>
      </c>
      <c r="E138" s="20" t="s">
        <v>627</v>
      </c>
      <c r="F138" s="20" t="s">
        <v>939</v>
      </c>
      <c r="G138" s="2" t="s">
        <v>18</v>
      </c>
      <c r="H138" s="3">
        <v>15</v>
      </c>
      <c r="I138" s="4">
        <v>8.85</v>
      </c>
      <c r="J138" s="5">
        <f t="shared" si="10"/>
        <v>132.75</v>
      </c>
      <c r="K138" s="6">
        <v>0</v>
      </c>
      <c r="L138" s="5">
        <f t="shared" si="11"/>
        <v>132.75</v>
      </c>
      <c r="M138" s="4">
        <v>1</v>
      </c>
      <c r="N138" s="5">
        <f t="shared" si="12"/>
        <v>15</v>
      </c>
      <c r="O138" s="5">
        <f t="shared" si="13"/>
        <v>117.75</v>
      </c>
      <c r="P138" s="2" t="s">
        <v>19</v>
      </c>
    </row>
    <row r="139" spans="1:16" x14ac:dyDescent="0.3">
      <c r="A139" s="2">
        <f t="shared" si="14"/>
        <v>20250138</v>
      </c>
      <c r="B139" s="25">
        <v>45666</v>
      </c>
      <c r="C139" s="2" t="s">
        <v>486</v>
      </c>
      <c r="D139" s="2" t="s">
        <v>24</v>
      </c>
      <c r="E139" s="20" t="s">
        <v>628</v>
      </c>
      <c r="F139" s="20" t="s">
        <v>152</v>
      </c>
      <c r="G139" s="2" t="s">
        <v>32</v>
      </c>
      <c r="H139" s="3">
        <v>2</v>
      </c>
      <c r="I139" s="4">
        <v>22.12</v>
      </c>
      <c r="J139" s="5">
        <f t="shared" si="10"/>
        <v>44.24</v>
      </c>
      <c r="K139" s="6">
        <v>0.02</v>
      </c>
      <c r="L139" s="5">
        <f t="shared" si="11"/>
        <v>43.355200000000004</v>
      </c>
      <c r="M139" s="4">
        <v>9.5</v>
      </c>
      <c r="N139" s="5">
        <f t="shared" si="12"/>
        <v>19</v>
      </c>
      <c r="O139" s="5">
        <f t="shared" si="13"/>
        <v>24.355200000000004</v>
      </c>
      <c r="P139" s="2" t="s">
        <v>19</v>
      </c>
    </row>
    <row r="140" spans="1:16" x14ac:dyDescent="0.3">
      <c r="A140" s="2">
        <f t="shared" si="14"/>
        <v>20250139</v>
      </c>
      <c r="B140" s="25">
        <v>45666</v>
      </c>
      <c r="C140" s="2" t="s">
        <v>486</v>
      </c>
      <c r="D140" s="2" t="s">
        <v>16</v>
      </c>
      <c r="E140" s="20" t="s">
        <v>629</v>
      </c>
      <c r="F140" s="20" t="s">
        <v>940</v>
      </c>
      <c r="G140" s="2" t="s">
        <v>21</v>
      </c>
      <c r="H140" s="3">
        <v>17</v>
      </c>
      <c r="I140" s="4">
        <v>28.25</v>
      </c>
      <c r="J140" s="5">
        <f t="shared" si="10"/>
        <v>480.25</v>
      </c>
      <c r="K140" s="6">
        <v>0.03</v>
      </c>
      <c r="L140" s="5">
        <f t="shared" si="11"/>
        <v>465.84249999999997</v>
      </c>
      <c r="M140" s="4">
        <v>15</v>
      </c>
      <c r="N140" s="5">
        <f t="shared" si="12"/>
        <v>255</v>
      </c>
      <c r="O140" s="5">
        <f t="shared" si="13"/>
        <v>210.84249999999997</v>
      </c>
      <c r="P140" s="2" t="s">
        <v>19</v>
      </c>
    </row>
    <row r="141" spans="1:16" x14ac:dyDescent="0.3">
      <c r="A141" s="2">
        <f t="shared" si="14"/>
        <v>20250140</v>
      </c>
      <c r="B141" s="25">
        <v>45666</v>
      </c>
      <c r="C141" s="2" t="s">
        <v>486</v>
      </c>
      <c r="D141" s="2" t="s">
        <v>28</v>
      </c>
      <c r="E141" s="20" t="s">
        <v>630</v>
      </c>
      <c r="F141" s="20" t="s">
        <v>153</v>
      </c>
      <c r="G141" s="2" t="s">
        <v>43</v>
      </c>
      <c r="H141" s="3">
        <v>111</v>
      </c>
      <c r="I141" s="4">
        <v>13.16</v>
      </c>
      <c r="J141" s="5">
        <f t="shared" si="10"/>
        <v>1460.76</v>
      </c>
      <c r="K141" s="6">
        <v>0.1</v>
      </c>
      <c r="L141" s="5">
        <f t="shared" si="11"/>
        <v>1314.684</v>
      </c>
      <c r="M141" s="4">
        <v>3</v>
      </c>
      <c r="N141" s="5">
        <f t="shared" si="12"/>
        <v>333</v>
      </c>
      <c r="O141" s="5">
        <f t="shared" si="13"/>
        <v>981.68399999999997</v>
      </c>
      <c r="P141" s="2" t="s">
        <v>19</v>
      </c>
    </row>
    <row r="142" spans="1:16" x14ac:dyDescent="0.3">
      <c r="A142" s="2">
        <f t="shared" si="14"/>
        <v>20250141</v>
      </c>
      <c r="B142" s="25">
        <v>45666</v>
      </c>
      <c r="C142" s="2" t="s">
        <v>486</v>
      </c>
      <c r="D142" s="2" t="s">
        <v>24</v>
      </c>
      <c r="E142" s="20" t="s">
        <v>631</v>
      </c>
      <c r="F142" s="20" t="s">
        <v>941</v>
      </c>
      <c r="G142" s="2" t="s">
        <v>43</v>
      </c>
      <c r="H142" s="3">
        <v>11</v>
      </c>
      <c r="I142" s="4">
        <v>14.29</v>
      </c>
      <c r="J142" s="5">
        <f t="shared" si="10"/>
        <v>157.19</v>
      </c>
      <c r="K142" s="6">
        <v>0</v>
      </c>
      <c r="L142" s="5">
        <f t="shared" si="11"/>
        <v>157.19</v>
      </c>
      <c r="M142" s="4">
        <v>3</v>
      </c>
      <c r="N142" s="5">
        <f t="shared" si="12"/>
        <v>33</v>
      </c>
      <c r="O142" s="5">
        <f t="shared" si="13"/>
        <v>124.19</v>
      </c>
      <c r="P142" s="2" t="s">
        <v>19</v>
      </c>
    </row>
    <row r="143" spans="1:16" x14ac:dyDescent="0.3">
      <c r="A143" s="2">
        <f t="shared" si="14"/>
        <v>20250142</v>
      </c>
      <c r="B143" s="25">
        <v>45666</v>
      </c>
      <c r="C143" s="2" t="s">
        <v>486</v>
      </c>
      <c r="D143" s="2" t="s">
        <v>16</v>
      </c>
      <c r="E143" s="20" t="s">
        <v>632</v>
      </c>
      <c r="F143" s="20" t="s">
        <v>154</v>
      </c>
      <c r="G143" s="2" t="s">
        <v>43</v>
      </c>
      <c r="H143" s="3">
        <v>18</v>
      </c>
      <c r="I143" s="4">
        <v>15.48</v>
      </c>
      <c r="J143" s="5">
        <f t="shared" si="10"/>
        <v>278.64</v>
      </c>
      <c r="K143" s="6">
        <v>0.05</v>
      </c>
      <c r="L143" s="5">
        <f t="shared" si="11"/>
        <v>0</v>
      </c>
      <c r="M143" s="4">
        <v>3</v>
      </c>
      <c r="N143" s="5">
        <f t="shared" si="12"/>
        <v>0</v>
      </c>
      <c r="O143" s="5">
        <f t="shared" si="13"/>
        <v>0</v>
      </c>
      <c r="P143" s="2" t="s">
        <v>22</v>
      </c>
    </row>
    <row r="144" spans="1:16" x14ac:dyDescent="0.3">
      <c r="A144" s="2">
        <f t="shared" si="14"/>
        <v>20250143</v>
      </c>
      <c r="B144" s="25">
        <v>45666</v>
      </c>
      <c r="C144" s="2" t="s">
        <v>486</v>
      </c>
      <c r="D144" s="2" t="s">
        <v>16</v>
      </c>
      <c r="E144" s="20" t="s">
        <v>633</v>
      </c>
      <c r="F144" s="20" t="s">
        <v>155</v>
      </c>
      <c r="G144" s="2" t="s">
        <v>27</v>
      </c>
      <c r="H144" s="3">
        <v>1</v>
      </c>
      <c r="I144" s="4">
        <v>47.62</v>
      </c>
      <c r="J144" s="5">
        <f t="shared" si="10"/>
        <v>47.62</v>
      </c>
      <c r="K144" s="6">
        <v>0.03</v>
      </c>
      <c r="L144" s="5">
        <f t="shared" si="11"/>
        <v>0</v>
      </c>
      <c r="M144" s="4">
        <v>24</v>
      </c>
      <c r="N144" s="5">
        <f t="shared" si="12"/>
        <v>0</v>
      </c>
      <c r="O144" s="5">
        <f t="shared" si="13"/>
        <v>0</v>
      </c>
      <c r="P144" s="2" t="s">
        <v>22</v>
      </c>
    </row>
    <row r="145" spans="1:16" x14ac:dyDescent="0.3">
      <c r="A145" s="2">
        <f t="shared" si="14"/>
        <v>20250144</v>
      </c>
      <c r="B145" s="25">
        <v>45666</v>
      </c>
      <c r="C145" s="2" t="s">
        <v>486</v>
      </c>
      <c r="D145" s="2" t="s">
        <v>16</v>
      </c>
      <c r="E145" s="20" t="s">
        <v>634</v>
      </c>
      <c r="F145" s="20" t="s">
        <v>942</v>
      </c>
      <c r="G145" s="2" t="s">
        <v>43</v>
      </c>
      <c r="H145" s="3">
        <v>5</v>
      </c>
      <c r="I145" s="4">
        <v>15.49</v>
      </c>
      <c r="J145" s="5">
        <f t="shared" si="10"/>
        <v>77.45</v>
      </c>
      <c r="K145" s="6">
        <v>0</v>
      </c>
      <c r="L145" s="5">
        <f t="shared" si="11"/>
        <v>77.45</v>
      </c>
      <c r="M145" s="4">
        <v>3</v>
      </c>
      <c r="N145" s="5">
        <f t="shared" si="12"/>
        <v>15</v>
      </c>
      <c r="O145" s="5">
        <f t="shared" si="13"/>
        <v>62.45</v>
      </c>
      <c r="P145" s="2" t="s">
        <v>19</v>
      </c>
    </row>
    <row r="146" spans="1:16" x14ac:dyDescent="0.3">
      <c r="A146" s="2">
        <f t="shared" si="14"/>
        <v>20250145</v>
      </c>
      <c r="B146" s="25">
        <v>45666</v>
      </c>
      <c r="C146" s="2" t="s">
        <v>486</v>
      </c>
      <c r="D146" s="2" t="s">
        <v>16</v>
      </c>
      <c r="E146" s="20" t="s">
        <v>635</v>
      </c>
      <c r="F146" s="20" t="s">
        <v>156</v>
      </c>
      <c r="G146" s="2" t="s">
        <v>27</v>
      </c>
      <c r="H146" s="3">
        <v>20</v>
      </c>
      <c r="I146" s="4">
        <v>46.53</v>
      </c>
      <c r="J146" s="5">
        <f t="shared" si="10"/>
        <v>930.6</v>
      </c>
      <c r="K146" s="6">
        <v>0</v>
      </c>
      <c r="L146" s="5">
        <f t="shared" si="11"/>
        <v>0</v>
      </c>
      <c r="M146" s="4">
        <v>24</v>
      </c>
      <c r="N146" s="5">
        <f t="shared" si="12"/>
        <v>0</v>
      </c>
      <c r="O146" s="5">
        <f t="shared" si="13"/>
        <v>0</v>
      </c>
      <c r="P146" s="2" t="s">
        <v>22</v>
      </c>
    </row>
    <row r="147" spans="1:16" x14ac:dyDescent="0.3">
      <c r="A147" s="2">
        <f t="shared" si="14"/>
        <v>20250146</v>
      </c>
      <c r="B147" s="25">
        <v>45666</v>
      </c>
      <c r="C147" s="2" t="s">
        <v>486</v>
      </c>
      <c r="D147" s="2" t="s">
        <v>16</v>
      </c>
      <c r="E147" s="20" t="s">
        <v>636</v>
      </c>
      <c r="F147" s="20" t="s">
        <v>157</v>
      </c>
      <c r="G147" s="2" t="s">
        <v>27</v>
      </c>
      <c r="H147" s="3">
        <v>14</v>
      </c>
      <c r="I147" s="4">
        <v>50.07</v>
      </c>
      <c r="J147" s="5">
        <f t="shared" si="10"/>
        <v>700.98</v>
      </c>
      <c r="K147" s="6">
        <v>0</v>
      </c>
      <c r="L147" s="5">
        <f t="shared" si="11"/>
        <v>700.98</v>
      </c>
      <c r="M147" s="4">
        <v>24</v>
      </c>
      <c r="N147" s="5">
        <f t="shared" si="12"/>
        <v>336</v>
      </c>
      <c r="O147" s="5">
        <f t="shared" si="13"/>
        <v>364.98</v>
      </c>
      <c r="P147" s="2" t="s">
        <v>19</v>
      </c>
    </row>
    <row r="148" spans="1:16" x14ac:dyDescent="0.3">
      <c r="A148" s="2">
        <f t="shared" si="14"/>
        <v>20250147</v>
      </c>
      <c r="B148" s="25">
        <v>45667</v>
      </c>
      <c r="C148" s="2" t="s">
        <v>486</v>
      </c>
      <c r="D148" s="2" t="s">
        <v>16</v>
      </c>
      <c r="E148" s="20" t="s">
        <v>637</v>
      </c>
      <c r="F148" s="20" t="s">
        <v>158</v>
      </c>
      <c r="G148" s="2" t="s">
        <v>43</v>
      </c>
      <c r="H148" s="3">
        <v>16</v>
      </c>
      <c r="I148" s="4">
        <v>17.07</v>
      </c>
      <c r="J148" s="5">
        <f t="shared" si="10"/>
        <v>273.12</v>
      </c>
      <c r="K148" s="6">
        <v>0.03</v>
      </c>
      <c r="L148" s="5">
        <f t="shared" si="11"/>
        <v>264.9264</v>
      </c>
      <c r="M148" s="4">
        <v>3</v>
      </c>
      <c r="N148" s="5">
        <f t="shared" si="12"/>
        <v>48</v>
      </c>
      <c r="O148" s="5">
        <f t="shared" si="13"/>
        <v>216.9264</v>
      </c>
      <c r="P148" s="2" t="s">
        <v>19</v>
      </c>
    </row>
    <row r="149" spans="1:16" x14ac:dyDescent="0.3">
      <c r="A149" s="2">
        <f t="shared" si="14"/>
        <v>20250148</v>
      </c>
      <c r="B149" s="25">
        <v>45667</v>
      </c>
      <c r="C149" s="2" t="s">
        <v>486</v>
      </c>
      <c r="D149" s="2" t="s">
        <v>28</v>
      </c>
      <c r="E149" s="20" t="s">
        <v>638</v>
      </c>
      <c r="F149" s="20" t="s">
        <v>159</v>
      </c>
      <c r="G149" s="2" t="s">
        <v>43</v>
      </c>
      <c r="H149" s="3">
        <v>74</v>
      </c>
      <c r="I149" s="4">
        <v>13.83</v>
      </c>
      <c r="J149" s="5">
        <f t="shared" si="10"/>
        <v>1023.42</v>
      </c>
      <c r="K149" s="6">
        <v>0.08</v>
      </c>
      <c r="L149" s="5">
        <f t="shared" si="11"/>
        <v>0</v>
      </c>
      <c r="M149" s="4">
        <v>3</v>
      </c>
      <c r="N149" s="5">
        <f t="shared" si="12"/>
        <v>0</v>
      </c>
      <c r="O149" s="5">
        <f t="shared" si="13"/>
        <v>0</v>
      </c>
      <c r="P149" s="2" t="s">
        <v>22</v>
      </c>
    </row>
    <row r="150" spans="1:16" x14ac:dyDescent="0.3">
      <c r="A150" s="2">
        <f t="shared" si="14"/>
        <v>20250149</v>
      </c>
      <c r="B150" s="25">
        <v>45667</v>
      </c>
      <c r="C150" s="2" t="s">
        <v>486</v>
      </c>
      <c r="D150" s="2" t="s">
        <v>16</v>
      </c>
      <c r="E150" s="20" t="s">
        <v>639</v>
      </c>
      <c r="F150" s="20" t="s">
        <v>160</v>
      </c>
      <c r="G150" s="2" t="s">
        <v>18</v>
      </c>
      <c r="H150" s="3">
        <v>18</v>
      </c>
      <c r="I150" s="4">
        <v>10.029999999999999</v>
      </c>
      <c r="J150" s="5">
        <f t="shared" si="10"/>
        <v>180.54</v>
      </c>
      <c r="K150" s="6">
        <v>0</v>
      </c>
      <c r="L150" s="5">
        <f t="shared" si="11"/>
        <v>180.54</v>
      </c>
      <c r="M150" s="4">
        <v>1</v>
      </c>
      <c r="N150" s="5">
        <f t="shared" si="12"/>
        <v>18</v>
      </c>
      <c r="O150" s="5">
        <f t="shared" si="13"/>
        <v>162.54</v>
      </c>
      <c r="P150" s="2" t="s">
        <v>19</v>
      </c>
    </row>
    <row r="151" spans="1:16" x14ac:dyDescent="0.3">
      <c r="A151" s="2">
        <f t="shared" si="14"/>
        <v>20250150</v>
      </c>
      <c r="B151" s="25">
        <v>45667</v>
      </c>
      <c r="C151" s="2" t="s">
        <v>486</v>
      </c>
      <c r="D151" s="2" t="s">
        <v>28</v>
      </c>
      <c r="E151" s="20" t="s">
        <v>943</v>
      </c>
      <c r="F151" s="20" t="s">
        <v>161</v>
      </c>
      <c r="G151" s="2" t="s">
        <v>18</v>
      </c>
      <c r="H151" s="3">
        <v>21</v>
      </c>
      <c r="I151" s="4">
        <v>8.3000000000000007</v>
      </c>
      <c r="J151" s="5">
        <f t="shared" si="10"/>
        <v>174.3</v>
      </c>
      <c r="K151" s="6">
        <v>0.08</v>
      </c>
      <c r="L151" s="5">
        <f t="shared" si="11"/>
        <v>160.35600000000002</v>
      </c>
      <c r="M151" s="4">
        <v>1</v>
      </c>
      <c r="N151" s="5">
        <f t="shared" si="12"/>
        <v>21</v>
      </c>
      <c r="O151" s="5">
        <f t="shared" si="13"/>
        <v>139.35600000000002</v>
      </c>
      <c r="P151" s="2" t="s">
        <v>19</v>
      </c>
    </row>
    <row r="152" spans="1:16" x14ac:dyDescent="0.3">
      <c r="A152" s="2">
        <f t="shared" si="14"/>
        <v>20250151</v>
      </c>
      <c r="B152" s="25">
        <v>45667</v>
      </c>
      <c r="C152" s="2" t="s">
        <v>486</v>
      </c>
      <c r="D152" s="2" t="s">
        <v>16</v>
      </c>
      <c r="E152" s="20" t="s">
        <v>640</v>
      </c>
      <c r="F152" s="20" t="s">
        <v>162</v>
      </c>
      <c r="G152" s="2" t="s">
        <v>43</v>
      </c>
      <c r="H152" s="3">
        <v>8</v>
      </c>
      <c r="I152" s="4">
        <v>17.05</v>
      </c>
      <c r="J152" s="5">
        <f t="shared" si="10"/>
        <v>136.4</v>
      </c>
      <c r="K152" s="6">
        <v>0</v>
      </c>
      <c r="L152" s="5">
        <f t="shared" si="11"/>
        <v>136.4</v>
      </c>
      <c r="M152" s="4">
        <v>3</v>
      </c>
      <c r="N152" s="5">
        <f t="shared" si="12"/>
        <v>24</v>
      </c>
      <c r="O152" s="5">
        <f t="shared" si="13"/>
        <v>112.4</v>
      </c>
      <c r="P152" s="2" t="s">
        <v>19</v>
      </c>
    </row>
    <row r="153" spans="1:16" x14ac:dyDescent="0.3">
      <c r="A153" s="2">
        <f t="shared" si="14"/>
        <v>20250152</v>
      </c>
      <c r="B153" s="25">
        <v>45667</v>
      </c>
      <c r="C153" s="2" t="s">
        <v>486</v>
      </c>
      <c r="D153" s="2" t="s">
        <v>28</v>
      </c>
      <c r="E153" s="20" t="s">
        <v>641</v>
      </c>
      <c r="F153" s="20" t="s">
        <v>163</v>
      </c>
      <c r="G153" s="2" t="s">
        <v>43</v>
      </c>
      <c r="H153" s="3">
        <v>1</v>
      </c>
      <c r="I153" s="4">
        <v>16.03</v>
      </c>
      <c r="J153" s="5">
        <f t="shared" si="10"/>
        <v>16.03</v>
      </c>
      <c r="K153" s="6">
        <v>0.08</v>
      </c>
      <c r="L153" s="5">
        <f t="shared" si="11"/>
        <v>14.747600000000002</v>
      </c>
      <c r="M153" s="4">
        <v>3</v>
      </c>
      <c r="N153" s="5">
        <f t="shared" si="12"/>
        <v>3</v>
      </c>
      <c r="O153" s="5">
        <f t="shared" si="13"/>
        <v>11.747600000000002</v>
      </c>
      <c r="P153" s="2" t="s">
        <v>19</v>
      </c>
    </row>
    <row r="154" spans="1:16" x14ac:dyDescent="0.3">
      <c r="A154" s="2">
        <f t="shared" si="14"/>
        <v>20250153</v>
      </c>
      <c r="B154" s="25">
        <v>45667</v>
      </c>
      <c r="C154" s="2" t="s">
        <v>486</v>
      </c>
      <c r="D154" s="2" t="s">
        <v>28</v>
      </c>
      <c r="E154" s="20" t="s">
        <v>642</v>
      </c>
      <c r="F154" s="20" t="s">
        <v>164</v>
      </c>
      <c r="G154" s="2" t="s">
        <v>27</v>
      </c>
      <c r="H154" s="3">
        <v>40</v>
      </c>
      <c r="I154" s="4">
        <v>49.46</v>
      </c>
      <c r="J154" s="5">
        <f t="shared" si="10"/>
        <v>1978.4</v>
      </c>
      <c r="K154" s="6">
        <v>0.05</v>
      </c>
      <c r="L154" s="5">
        <f t="shared" si="11"/>
        <v>0</v>
      </c>
      <c r="M154" s="4">
        <v>24</v>
      </c>
      <c r="N154" s="5">
        <f t="shared" si="12"/>
        <v>0</v>
      </c>
      <c r="O154" s="5">
        <f t="shared" si="13"/>
        <v>0</v>
      </c>
      <c r="P154" s="2" t="s">
        <v>22</v>
      </c>
    </row>
    <row r="155" spans="1:16" x14ac:dyDescent="0.3">
      <c r="A155" s="2">
        <f t="shared" si="14"/>
        <v>20250154</v>
      </c>
      <c r="B155" s="25">
        <v>45667</v>
      </c>
      <c r="C155" s="2" t="s">
        <v>486</v>
      </c>
      <c r="D155" s="2" t="s">
        <v>28</v>
      </c>
      <c r="E155" s="20" t="s">
        <v>643</v>
      </c>
      <c r="F155" s="20" t="s">
        <v>165</v>
      </c>
      <c r="G155" s="2" t="s">
        <v>27</v>
      </c>
      <c r="H155" s="3">
        <v>117</v>
      </c>
      <c r="I155" s="4">
        <v>44.44</v>
      </c>
      <c r="J155" s="5">
        <f t="shared" si="10"/>
        <v>5199.4799999999996</v>
      </c>
      <c r="K155" s="6">
        <v>0.15</v>
      </c>
      <c r="L155" s="5">
        <f t="shared" si="11"/>
        <v>4419.5579999999991</v>
      </c>
      <c r="M155" s="4">
        <v>24</v>
      </c>
      <c r="N155" s="5">
        <f t="shared" si="12"/>
        <v>2808</v>
      </c>
      <c r="O155" s="5">
        <f t="shared" si="13"/>
        <v>1611.5579999999991</v>
      </c>
      <c r="P155" s="2" t="s">
        <v>19</v>
      </c>
    </row>
    <row r="156" spans="1:16" x14ac:dyDescent="0.3">
      <c r="A156" s="2">
        <f t="shared" si="14"/>
        <v>20250155</v>
      </c>
      <c r="B156" s="25">
        <v>45667</v>
      </c>
      <c r="C156" s="2" t="s">
        <v>486</v>
      </c>
      <c r="D156" s="2" t="s">
        <v>16</v>
      </c>
      <c r="E156" s="20" t="s">
        <v>644</v>
      </c>
      <c r="F156" s="20" t="s">
        <v>166</v>
      </c>
      <c r="G156" s="2" t="s">
        <v>27</v>
      </c>
      <c r="H156" s="3">
        <v>14</v>
      </c>
      <c r="I156" s="4">
        <v>42.67</v>
      </c>
      <c r="J156" s="5">
        <f t="shared" si="10"/>
        <v>597.38</v>
      </c>
      <c r="K156" s="6">
        <v>0.05</v>
      </c>
      <c r="L156" s="5">
        <f t="shared" si="11"/>
        <v>0</v>
      </c>
      <c r="M156" s="4">
        <v>24</v>
      </c>
      <c r="N156" s="5">
        <f t="shared" si="12"/>
        <v>0</v>
      </c>
      <c r="O156" s="5">
        <f t="shared" si="13"/>
        <v>0</v>
      </c>
      <c r="P156" s="2" t="s">
        <v>22</v>
      </c>
    </row>
    <row r="157" spans="1:16" x14ac:dyDescent="0.3">
      <c r="A157" s="2">
        <f t="shared" si="14"/>
        <v>20250156</v>
      </c>
      <c r="B157" s="25">
        <v>45667</v>
      </c>
      <c r="C157" s="2" t="s">
        <v>486</v>
      </c>
      <c r="D157" s="2" t="s">
        <v>28</v>
      </c>
      <c r="E157" s="20" t="s">
        <v>645</v>
      </c>
      <c r="F157" s="20" t="s">
        <v>167</v>
      </c>
      <c r="G157" s="2" t="s">
        <v>21</v>
      </c>
      <c r="H157" s="3">
        <v>17</v>
      </c>
      <c r="I157" s="4">
        <v>26.51</v>
      </c>
      <c r="J157" s="5">
        <f t="shared" si="10"/>
        <v>450.67</v>
      </c>
      <c r="K157" s="6">
        <v>0.15</v>
      </c>
      <c r="L157" s="5">
        <f t="shared" si="11"/>
        <v>383.06950000000001</v>
      </c>
      <c r="M157" s="4">
        <v>15</v>
      </c>
      <c r="N157" s="5">
        <f t="shared" si="12"/>
        <v>255</v>
      </c>
      <c r="O157" s="5">
        <f t="shared" si="13"/>
        <v>128.06950000000001</v>
      </c>
      <c r="P157" s="2" t="s">
        <v>19</v>
      </c>
    </row>
    <row r="158" spans="1:16" x14ac:dyDescent="0.3">
      <c r="A158" s="2">
        <f t="shared" si="14"/>
        <v>20250157</v>
      </c>
      <c r="B158" s="25">
        <v>45667</v>
      </c>
      <c r="C158" s="2" t="s">
        <v>486</v>
      </c>
      <c r="D158" s="2" t="s">
        <v>16</v>
      </c>
      <c r="E158" s="20" t="s">
        <v>602</v>
      </c>
      <c r="F158" s="20" t="s">
        <v>168</v>
      </c>
      <c r="G158" s="2" t="s">
        <v>43</v>
      </c>
      <c r="H158" s="3">
        <v>9</v>
      </c>
      <c r="I158" s="4">
        <v>14.03</v>
      </c>
      <c r="J158" s="5">
        <f t="shared" si="10"/>
        <v>126.27</v>
      </c>
      <c r="K158" s="6">
        <v>0.05</v>
      </c>
      <c r="L158" s="5">
        <f t="shared" si="11"/>
        <v>119.95649999999999</v>
      </c>
      <c r="M158" s="4">
        <v>3</v>
      </c>
      <c r="N158" s="5">
        <f t="shared" si="12"/>
        <v>27</v>
      </c>
      <c r="O158" s="5">
        <f t="shared" si="13"/>
        <v>92.956499999999991</v>
      </c>
      <c r="P158" s="2" t="s">
        <v>19</v>
      </c>
    </row>
    <row r="159" spans="1:16" x14ac:dyDescent="0.3">
      <c r="A159" s="2">
        <f t="shared" si="14"/>
        <v>20250158</v>
      </c>
      <c r="B159" s="25">
        <v>45667</v>
      </c>
      <c r="C159" s="2" t="s">
        <v>486</v>
      </c>
      <c r="D159" s="2" t="s">
        <v>28</v>
      </c>
      <c r="E159" s="20" t="s">
        <v>646</v>
      </c>
      <c r="F159" s="20" t="s">
        <v>169</v>
      </c>
      <c r="G159" s="2" t="s">
        <v>21</v>
      </c>
      <c r="H159" s="3">
        <v>2</v>
      </c>
      <c r="I159" s="4">
        <v>24.99</v>
      </c>
      <c r="J159" s="5">
        <f t="shared" si="10"/>
        <v>49.98</v>
      </c>
      <c r="K159" s="6">
        <v>0.1</v>
      </c>
      <c r="L159" s="5">
        <f t="shared" si="11"/>
        <v>0</v>
      </c>
      <c r="M159" s="4">
        <v>15</v>
      </c>
      <c r="N159" s="5">
        <f t="shared" si="12"/>
        <v>0</v>
      </c>
      <c r="O159" s="5">
        <f t="shared" si="13"/>
        <v>0</v>
      </c>
      <c r="P159" s="2" t="s">
        <v>22</v>
      </c>
    </row>
    <row r="160" spans="1:16" x14ac:dyDescent="0.3">
      <c r="A160" s="2">
        <f t="shared" si="14"/>
        <v>20250159</v>
      </c>
      <c r="B160" s="25">
        <v>45667</v>
      </c>
      <c r="C160" s="2" t="s">
        <v>486</v>
      </c>
      <c r="D160" s="2" t="s">
        <v>28</v>
      </c>
      <c r="E160" s="20" t="s">
        <v>647</v>
      </c>
      <c r="F160" s="20" t="s">
        <v>170</v>
      </c>
      <c r="G160" s="2" t="s">
        <v>43</v>
      </c>
      <c r="H160" s="3">
        <v>18</v>
      </c>
      <c r="I160" s="4">
        <v>16.940000000000001</v>
      </c>
      <c r="J160" s="5">
        <f t="shared" si="10"/>
        <v>304.92</v>
      </c>
      <c r="K160" s="6">
        <v>0.12</v>
      </c>
      <c r="L160" s="5">
        <f t="shared" si="11"/>
        <v>268.32960000000003</v>
      </c>
      <c r="M160" s="4">
        <v>3</v>
      </c>
      <c r="N160" s="5">
        <f t="shared" si="12"/>
        <v>54</v>
      </c>
      <c r="O160" s="5">
        <f t="shared" si="13"/>
        <v>214.32960000000003</v>
      </c>
      <c r="P160" s="2" t="s">
        <v>19</v>
      </c>
    </row>
    <row r="161" spans="1:16" x14ac:dyDescent="0.3">
      <c r="A161" s="2">
        <f t="shared" si="14"/>
        <v>20250160</v>
      </c>
      <c r="B161" s="25">
        <v>45667</v>
      </c>
      <c r="C161" s="2" t="s">
        <v>486</v>
      </c>
      <c r="D161" s="2" t="s">
        <v>16</v>
      </c>
      <c r="E161" s="20" t="s">
        <v>648</v>
      </c>
      <c r="F161" s="20" t="s">
        <v>171</v>
      </c>
      <c r="G161" s="2" t="s">
        <v>32</v>
      </c>
      <c r="H161" s="3">
        <v>17</v>
      </c>
      <c r="I161" s="4">
        <v>18.09</v>
      </c>
      <c r="J161" s="5">
        <f t="shared" si="10"/>
        <v>307.52999999999997</v>
      </c>
      <c r="K161" s="6">
        <v>7.0000000000000007E-2</v>
      </c>
      <c r="L161" s="5">
        <f t="shared" si="11"/>
        <v>286.00289999999995</v>
      </c>
      <c r="M161" s="4">
        <v>9.5</v>
      </c>
      <c r="N161" s="5">
        <f t="shared" si="12"/>
        <v>161.5</v>
      </c>
      <c r="O161" s="5">
        <f t="shared" si="13"/>
        <v>124.50289999999995</v>
      </c>
      <c r="P161" s="2" t="s">
        <v>19</v>
      </c>
    </row>
    <row r="162" spans="1:16" x14ac:dyDescent="0.3">
      <c r="A162" s="2">
        <f t="shared" si="14"/>
        <v>20250161</v>
      </c>
      <c r="B162" s="25">
        <v>45667</v>
      </c>
      <c r="C162" s="2" t="s">
        <v>486</v>
      </c>
      <c r="D162" s="2" t="s">
        <v>24</v>
      </c>
      <c r="E162" s="20" t="s">
        <v>649</v>
      </c>
      <c r="F162" s="20" t="s">
        <v>172</v>
      </c>
      <c r="G162" s="2" t="s">
        <v>32</v>
      </c>
      <c r="H162" s="3">
        <v>21</v>
      </c>
      <c r="I162" s="4">
        <v>16.95</v>
      </c>
      <c r="J162" s="5">
        <f t="shared" si="10"/>
        <v>355.95</v>
      </c>
      <c r="K162" s="6">
        <v>0</v>
      </c>
      <c r="L162" s="5">
        <f t="shared" si="11"/>
        <v>355.95</v>
      </c>
      <c r="M162" s="4">
        <v>9.5</v>
      </c>
      <c r="N162" s="5">
        <f t="shared" si="12"/>
        <v>199.5</v>
      </c>
      <c r="O162" s="5">
        <f t="shared" si="13"/>
        <v>156.44999999999999</v>
      </c>
      <c r="P162" s="2" t="s">
        <v>19</v>
      </c>
    </row>
    <row r="163" spans="1:16" x14ac:dyDescent="0.3">
      <c r="A163" s="2">
        <f t="shared" si="14"/>
        <v>20250162</v>
      </c>
      <c r="B163" s="25">
        <v>45668</v>
      </c>
      <c r="C163" s="2" t="s">
        <v>486</v>
      </c>
      <c r="D163" s="2" t="s">
        <v>28</v>
      </c>
      <c r="E163" s="20" t="s">
        <v>650</v>
      </c>
      <c r="F163" s="20" t="s">
        <v>944</v>
      </c>
      <c r="G163" s="2" t="s">
        <v>43</v>
      </c>
      <c r="H163" s="3">
        <v>73</v>
      </c>
      <c r="I163" s="4">
        <v>13.21</v>
      </c>
      <c r="J163" s="5">
        <f t="shared" si="10"/>
        <v>964.33</v>
      </c>
      <c r="K163" s="6">
        <v>0.1</v>
      </c>
      <c r="L163" s="5">
        <f t="shared" si="11"/>
        <v>867.89700000000005</v>
      </c>
      <c r="M163" s="4">
        <v>3</v>
      </c>
      <c r="N163" s="5">
        <f t="shared" si="12"/>
        <v>219</v>
      </c>
      <c r="O163" s="5">
        <f t="shared" si="13"/>
        <v>648.89700000000005</v>
      </c>
      <c r="P163" s="2" t="s">
        <v>19</v>
      </c>
    </row>
    <row r="164" spans="1:16" x14ac:dyDescent="0.3">
      <c r="A164" s="2">
        <f t="shared" si="14"/>
        <v>20250163</v>
      </c>
      <c r="B164" s="25">
        <v>45668</v>
      </c>
      <c r="C164" s="2" t="s">
        <v>486</v>
      </c>
      <c r="D164" s="2" t="s">
        <v>16</v>
      </c>
      <c r="E164" s="20" t="s">
        <v>651</v>
      </c>
      <c r="F164" s="20" t="s">
        <v>173</v>
      </c>
      <c r="G164" s="2" t="s">
        <v>43</v>
      </c>
      <c r="H164" s="3">
        <v>18</v>
      </c>
      <c r="I164" s="4">
        <v>14.66</v>
      </c>
      <c r="J164" s="5">
        <f t="shared" si="10"/>
        <v>263.88</v>
      </c>
      <c r="K164" s="6">
        <v>0</v>
      </c>
      <c r="L164" s="5">
        <f t="shared" si="11"/>
        <v>263.88</v>
      </c>
      <c r="M164" s="4">
        <v>3</v>
      </c>
      <c r="N164" s="5">
        <f t="shared" si="12"/>
        <v>54</v>
      </c>
      <c r="O164" s="5">
        <f t="shared" si="13"/>
        <v>209.88</v>
      </c>
      <c r="P164" s="2" t="s">
        <v>19</v>
      </c>
    </row>
    <row r="165" spans="1:16" x14ac:dyDescent="0.3">
      <c r="A165" s="2">
        <f t="shared" si="14"/>
        <v>20250164</v>
      </c>
      <c r="B165" s="25">
        <v>45668</v>
      </c>
      <c r="C165" s="2" t="s">
        <v>486</v>
      </c>
      <c r="D165" s="2" t="s">
        <v>28</v>
      </c>
      <c r="E165" s="20" t="s">
        <v>652</v>
      </c>
      <c r="F165" s="20" t="s">
        <v>174</v>
      </c>
      <c r="G165" s="2" t="s">
        <v>18</v>
      </c>
      <c r="H165" s="3">
        <v>98</v>
      </c>
      <c r="I165" s="4">
        <v>8.07</v>
      </c>
      <c r="J165" s="5">
        <f t="shared" si="10"/>
        <v>790.86</v>
      </c>
      <c r="K165" s="6">
        <v>0.12</v>
      </c>
      <c r="L165" s="5">
        <f t="shared" si="11"/>
        <v>695.95680000000004</v>
      </c>
      <c r="M165" s="4">
        <v>1</v>
      </c>
      <c r="N165" s="5">
        <f t="shared" si="12"/>
        <v>98</v>
      </c>
      <c r="O165" s="5">
        <f t="shared" si="13"/>
        <v>597.95680000000004</v>
      </c>
      <c r="P165" s="2" t="s">
        <v>19</v>
      </c>
    </row>
    <row r="166" spans="1:16" x14ac:dyDescent="0.3">
      <c r="A166" s="2">
        <f t="shared" si="14"/>
        <v>20250165</v>
      </c>
      <c r="B166" s="25">
        <v>45668</v>
      </c>
      <c r="C166" s="2" t="s">
        <v>486</v>
      </c>
      <c r="D166" s="2" t="s">
        <v>28</v>
      </c>
      <c r="E166" s="20" t="s">
        <v>653</v>
      </c>
      <c r="F166" s="20" t="s">
        <v>175</v>
      </c>
      <c r="G166" s="2" t="s">
        <v>27</v>
      </c>
      <c r="H166" s="3">
        <v>19</v>
      </c>
      <c r="I166" s="4">
        <v>41.86</v>
      </c>
      <c r="J166" s="5">
        <f t="shared" si="10"/>
        <v>795.34</v>
      </c>
      <c r="K166" s="6">
        <v>0.12</v>
      </c>
      <c r="L166" s="5">
        <f t="shared" si="11"/>
        <v>699.89920000000006</v>
      </c>
      <c r="M166" s="4">
        <v>24</v>
      </c>
      <c r="N166" s="5">
        <f t="shared" si="12"/>
        <v>456</v>
      </c>
      <c r="O166" s="5">
        <f t="shared" si="13"/>
        <v>243.89920000000006</v>
      </c>
      <c r="P166" s="2" t="s">
        <v>19</v>
      </c>
    </row>
    <row r="167" spans="1:16" x14ac:dyDescent="0.3">
      <c r="A167" s="2">
        <f t="shared" si="14"/>
        <v>20250166</v>
      </c>
      <c r="B167" s="25">
        <v>45668</v>
      </c>
      <c r="C167" s="2" t="s">
        <v>486</v>
      </c>
      <c r="D167" s="2" t="s">
        <v>16</v>
      </c>
      <c r="E167" s="20" t="s">
        <v>654</v>
      </c>
      <c r="F167" s="20" t="s">
        <v>176</v>
      </c>
      <c r="G167" s="2" t="s">
        <v>32</v>
      </c>
      <c r="H167" s="3">
        <v>2</v>
      </c>
      <c r="I167" s="4">
        <v>20.67</v>
      </c>
      <c r="J167" s="5">
        <f t="shared" si="10"/>
        <v>41.34</v>
      </c>
      <c r="K167" s="6">
        <v>0.03</v>
      </c>
      <c r="L167" s="5">
        <f t="shared" si="11"/>
        <v>40.099800000000002</v>
      </c>
      <c r="M167" s="4">
        <v>9.5</v>
      </c>
      <c r="N167" s="5">
        <f t="shared" si="12"/>
        <v>19</v>
      </c>
      <c r="O167" s="5">
        <f t="shared" si="13"/>
        <v>21.099800000000002</v>
      </c>
      <c r="P167" s="2" t="s">
        <v>19</v>
      </c>
    </row>
    <row r="168" spans="1:16" x14ac:dyDescent="0.3">
      <c r="A168" s="2">
        <f t="shared" si="14"/>
        <v>20250167</v>
      </c>
      <c r="B168" s="25">
        <v>45668</v>
      </c>
      <c r="C168" s="2" t="s">
        <v>486</v>
      </c>
      <c r="D168" s="2" t="s">
        <v>28</v>
      </c>
      <c r="E168" s="20" t="s">
        <v>655</v>
      </c>
      <c r="F168" s="20" t="s">
        <v>177</v>
      </c>
      <c r="G168" s="2" t="s">
        <v>21</v>
      </c>
      <c r="H168" s="3">
        <v>12</v>
      </c>
      <c r="I168" s="4">
        <v>28.25</v>
      </c>
      <c r="J168" s="5">
        <f t="shared" si="10"/>
        <v>339</v>
      </c>
      <c r="K168" s="6">
        <v>0.05</v>
      </c>
      <c r="L168" s="5">
        <f t="shared" si="11"/>
        <v>322.05</v>
      </c>
      <c r="M168" s="4">
        <v>15</v>
      </c>
      <c r="N168" s="5">
        <f t="shared" si="12"/>
        <v>180</v>
      </c>
      <c r="O168" s="5">
        <f t="shared" si="13"/>
        <v>142.05000000000001</v>
      </c>
      <c r="P168" s="2" t="s">
        <v>19</v>
      </c>
    </row>
    <row r="169" spans="1:16" x14ac:dyDescent="0.3">
      <c r="A169" s="2">
        <f t="shared" si="14"/>
        <v>20250168</v>
      </c>
      <c r="B169" s="25">
        <v>45668</v>
      </c>
      <c r="C169" s="2" t="s">
        <v>486</v>
      </c>
      <c r="D169" s="2" t="s">
        <v>24</v>
      </c>
      <c r="E169" s="20" t="s">
        <v>656</v>
      </c>
      <c r="F169" s="20" t="s">
        <v>178</v>
      </c>
      <c r="G169" s="2" t="s">
        <v>43</v>
      </c>
      <c r="H169" s="3">
        <v>4</v>
      </c>
      <c r="I169" s="4">
        <v>13.13</v>
      </c>
      <c r="J169" s="5">
        <f t="shared" si="10"/>
        <v>52.52</v>
      </c>
      <c r="K169" s="6">
        <v>0</v>
      </c>
      <c r="L169" s="5">
        <f t="shared" si="11"/>
        <v>52.52</v>
      </c>
      <c r="M169" s="4">
        <v>3</v>
      </c>
      <c r="N169" s="5">
        <f t="shared" si="12"/>
        <v>12</v>
      </c>
      <c r="O169" s="5">
        <f t="shared" si="13"/>
        <v>40.520000000000003</v>
      </c>
      <c r="P169" s="2" t="s">
        <v>19</v>
      </c>
    </row>
    <row r="170" spans="1:16" x14ac:dyDescent="0.3">
      <c r="A170" s="2">
        <f t="shared" si="14"/>
        <v>20250169</v>
      </c>
      <c r="B170" s="25">
        <v>45668</v>
      </c>
      <c r="C170" s="2" t="s">
        <v>486</v>
      </c>
      <c r="D170" s="2" t="s">
        <v>24</v>
      </c>
      <c r="E170" s="20" t="s">
        <v>657</v>
      </c>
      <c r="F170" s="20" t="s">
        <v>179</v>
      </c>
      <c r="G170" s="2" t="s">
        <v>21</v>
      </c>
      <c r="H170" s="3">
        <v>7</v>
      </c>
      <c r="I170" s="4">
        <v>28.99</v>
      </c>
      <c r="J170" s="5">
        <f t="shared" si="10"/>
        <v>202.92999999999998</v>
      </c>
      <c r="K170" s="6">
        <v>0.05</v>
      </c>
      <c r="L170" s="5">
        <f t="shared" si="11"/>
        <v>192.78349999999998</v>
      </c>
      <c r="M170" s="4">
        <v>15</v>
      </c>
      <c r="N170" s="5">
        <f t="shared" si="12"/>
        <v>105</v>
      </c>
      <c r="O170" s="5">
        <f t="shared" si="13"/>
        <v>87.783499999999975</v>
      </c>
      <c r="P170" s="2" t="s">
        <v>19</v>
      </c>
    </row>
    <row r="171" spans="1:16" x14ac:dyDescent="0.3">
      <c r="A171" s="2">
        <f t="shared" si="14"/>
        <v>20250170</v>
      </c>
      <c r="B171" s="25">
        <v>45668</v>
      </c>
      <c r="C171" s="2" t="s">
        <v>486</v>
      </c>
      <c r="D171" s="2" t="s">
        <v>28</v>
      </c>
      <c r="E171" s="20" t="s">
        <v>658</v>
      </c>
      <c r="F171" s="20" t="s">
        <v>180</v>
      </c>
      <c r="G171" s="2" t="s">
        <v>21</v>
      </c>
      <c r="H171" s="3">
        <v>21</v>
      </c>
      <c r="I171" s="4">
        <v>26.95</v>
      </c>
      <c r="J171" s="5">
        <f t="shared" si="10"/>
        <v>565.94999999999993</v>
      </c>
      <c r="K171" s="6">
        <v>0.1</v>
      </c>
      <c r="L171" s="5">
        <f t="shared" si="11"/>
        <v>509.35499999999996</v>
      </c>
      <c r="M171" s="4">
        <v>15</v>
      </c>
      <c r="N171" s="5">
        <f t="shared" si="12"/>
        <v>315</v>
      </c>
      <c r="O171" s="5">
        <f t="shared" si="13"/>
        <v>194.35499999999996</v>
      </c>
      <c r="P171" s="2" t="s">
        <v>19</v>
      </c>
    </row>
    <row r="172" spans="1:16" x14ac:dyDescent="0.3">
      <c r="A172" s="2">
        <f t="shared" si="14"/>
        <v>20250171</v>
      </c>
      <c r="B172" s="25">
        <v>45668</v>
      </c>
      <c r="C172" s="2" t="s">
        <v>486</v>
      </c>
      <c r="D172" s="2" t="s">
        <v>24</v>
      </c>
      <c r="E172" s="20" t="s">
        <v>659</v>
      </c>
      <c r="F172" s="20" t="s">
        <v>181</v>
      </c>
      <c r="G172" s="2" t="s">
        <v>27</v>
      </c>
      <c r="H172" s="3">
        <v>23</v>
      </c>
      <c r="I172" s="4">
        <v>47.55</v>
      </c>
      <c r="J172" s="5">
        <f t="shared" si="10"/>
        <v>1093.6499999999999</v>
      </c>
      <c r="K172" s="6">
        <v>0</v>
      </c>
      <c r="L172" s="5">
        <f t="shared" si="11"/>
        <v>1093.6499999999999</v>
      </c>
      <c r="M172" s="4">
        <v>24</v>
      </c>
      <c r="N172" s="5">
        <f t="shared" si="12"/>
        <v>552</v>
      </c>
      <c r="O172" s="5">
        <f t="shared" si="13"/>
        <v>541.64999999999986</v>
      </c>
      <c r="P172" s="2" t="s">
        <v>19</v>
      </c>
    </row>
    <row r="173" spans="1:16" x14ac:dyDescent="0.3">
      <c r="A173" s="2">
        <f t="shared" si="14"/>
        <v>20250172</v>
      </c>
      <c r="B173" s="25">
        <v>45668</v>
      </c>
      <c r="C173" s="2" t="s">
        <v>486</v>
      </c>
      <c r="D173" s="2" t="s">
        <v>16</v>
      </c>
      <c r="E173" s="20" t="s">
        <v>660</v>
      </c>
      <c r="F173" s="20" t="s">
        <v>182</v>
      </c>
      <c r="G173" s="2" t="s">
        <v>32</v>
      </c>
      <c r="H173" s="3">
        <v>1</v>
      </c>
      <c r="I173" s="4">
        <v>20.55</v>
      </c>
      <c r="J173" s="5">
        <f t="shared" si="10"/>
        <v>20.55</v>
      </c>
      <c r="K173" s="6">
        <v>0.05</v>
      </c>
      <c r="L173" s="5">
        <f t="shared" si="11"/>
        <v>19.522500000000001</v>
      </c>
      <c r="M173" s="4">
        <v>9.5</v>
      </c>
      <c r="N173" s="5">
        <f t="shared" si="12"/>
        <v>9.5</v>
      </c>
      <c r="O173" s="5">
        <f t="shared" si="13"/>
        <v>10.022500000000001</v>
      </c>
      <c r="P173" s="2" t="s">
        <v>19</v>
      </c>
    </row>
    <row r="174" spans="1:16" x14ac:dyDescent="0.3">
      <c r="A174" s="2">
        <f t="shared" si="14"/>
        <v>20250173</v>
      </c>
      <c r="B174" s="25">
        <v>45668</v>
      </c>
      <c r="C174" s="2" t="s">
        <v>486</v>
      </c>
      <c r="D174" s="2" t="s">
        <v>28</v>
      </c>
      <c r="E174" s="20" t="s">
        <v>661</v>
      </c>
      <c r="F174" s="20" t="s">
        <v>183</v>
      </c>
      <c r="G174" s="2" t="s">
        <v>32</v>
      </c>
      <c r="H174" s="3">
        <v>10</v>
      </c>
      <c r="I174" s="4">
        <v>20.48</v>
      </c>
      <c r="J174" s="5">
        <f t="shared" si="10"/>
        <v>204.8</v>
      </c>
      <c r="K174" s="6">
        <v>0.12</v>
      </c>
      <c r="L174" s="5">
        <f t="shared" si="11"/>
        <v>180.22400000000002</v>
      </c>
      <c r="M174" s="4">
        <v>9.5</v>
      </c>
      <c r="N174" s="5">
        <f t="shared" si="12"/>
        <v>95</v>
      </c>
      <c r="O174" s="5">
        <f t="shared" si="13"/>
        <v>85.224000000000018</v>
      </c>
      <c r="P174" s="2" t="s">
        <v>19</v>
      </c>
    </row>
    <row r="175" spans="1:16" x14ac:dyDescent="0.3">
      <c r="A175" s="2">
        <f t="shared" si="14"/>
        <v>20250174</v>
      </c>
      <c r="B175" s="25">
        <v>45668</v>
      </c>
      <c r="C175" s="2" t="s">
        <v>486</v>
      </c>
      <c r="D175" s="2" t="s">
        <v>16</v>
      </c>
      <c r="E175" s="20" t="s">
        <v>662</v>
      </c>
      <c r="F175" s="20" t="s">
        <v>184</v>
      </c>
      <c r="G175" s="2" t="s">
        <v>27</v>
      </c>
      <c r="H175" s="3">
        <v>21</v>
      </c>
      <c r="I175" s="4">
        <v>47.88</v>
      </c>
      <c r="J175" s="5">
        <f t="shared" si="10"/>
        <v>1005.48</v>
      </c>
      <c r="K175" s="6">
        <v>7.0000000000000007E-2</v>
      </c>
      <c r="L175" s="5">
        <f t="shared" si="11"/>
        <v>935.0963999999999</v>
      </c>
      <c r="M175" s="4">
        <v>24</v>
      </c>
      <c r="N175" s="5">
        <f t="shared" si="12"/>
        <v>504</v>
      </c>
      <c r="O175" s="5">
        <f t="shared" si="13"/>
        <v>431.0963999999999</v>
      </c>
      <c r="P175" s="2" t="s">
        <v>19</v>
      </c>
    </row>
    <row r="176" spans="1:16" x14ac:dyDescent="0.3">
      <c r="A176" s="2">
        <f t="shared" si="14"/>
        <v>20250175</v>
      </c>
      <c r="B176" s="25">
        <v>45668</v>
      </c>
      <c r="C176" s="2" t="s">
        <v>486</v>
      </c>
      <c r="D176" s="2" t="s">
        <v>28</v>
      </c>
      <c r="E176" s="20" t="s">
        <v>663</v>
      </c>
      <c r="F176" s="20" t="s">
        <v>185</v>
      </c>
      <c r="G176" s="2" t="s">
        <v>27</v>
      </c>
      <c r="H176" s="3">
        <v>14</v>
      </c>
      <c r="I176" s="4">
        <v>45.76</v>
      </c>
      <c r="J176" s="5">
        <f t="shared" si="10"/>
        <v>640.64</v>
      </c>
      <c r="K176" s="6">
        <v>0.05</v>
      </c>
      <c r="L176" s="5">
        <f t="shared" si="11"/>
        <v>608.60799999999995</v>
      </c>
      <c r="M176" s="4">
        <v>24</v>
      </c>
      <c r="N176" s="5">
        <f t="shared" si="12"/>
        <v>336</v>
      </c>
      <c r="O176" s="5">
        <f t="shared" si="13"/>
        <v>272.60799999999995</v>
      </c>
      <c r="P176" s="2" t="s">
        <v>19</v>
      </c>
    </row>
    <row r="177" spans="1:16" x14ac:dyDescent="0.3">
      <c r="A177" s="2">
        <f t="shared" si="14"/>
        <v>20250176</v>
      </c>
      <c r="B177" s="25">
        <v>45668</v>
      </c>
      <c r="C177" s="2" t="s">
        <v>486</v>
      </c>
      <c r="D177" s="2" t="s">
        <v>16</v>
      </c>
      <c r="E177" s="20" t="s">
        <v>664</v>
      </c>
      <c r="F177" s="20" t="s">
        <v>186</v>
      </c>
      <c r="G177" s="2" t="s">
        <v>32</v>
      </c>
      <c r="H177" s="3">
        <v>12</v>
      </c>
      <c r="I177" s="4">
        <v>18.850000000000001</v>
      </c>
      <c r="J177" s="5">
        <f t="shared" si="10"/>
        <v>226.20000000000002</v>
      </c>
      <c r="K177" s="6">
        <v>0.02</v>
      </c>
      <c r="L177" s="5">
        <f t="shared" si="11"/>
        <v>221.67600000000002</v>
      </c>
      <c r="M177" s="4">
        <v>9.5</v>
      </c>
      <c r="N177" s="5">
        <f t="shared" si="12"/>
        <v>114</v>
      </c>
      <c r="O177" s="5">
        <f t="shared" si="13"/>
        <v>107.67600000000002</v>
      </c>
      <c r="P177" s="2" t="s">
        <v>19</v>
      </c>
    </row>
    <row r="178" spans="1:16" x14ac:dyDescent="0.3">
      <c r="A178" s="2">
        <f t="shared" si="14"/>
        <v>20250177</v>
      </c>
      <c r="B178" s="25">
        <v>45668</v>
      </c>
      <c r="C178" s="2" t="s">
        <v>486</v>
      </c>
      <c r="D178" s="2" t="s">
        <v>24</v>
      </c>
      <c r="E178" s="20" t="s">
        <v>665</v>
      </c>
      <c r="F178" s="20" t="s">
        <v>187</v>
      </c>
      <c r="G178" s="2" t="s">
        <v>27</v>
      </c>
      <c r="H178" s="3">
        <v>20</v>
      </c>
      <c r="I178" s="4">
        <v>49.26</v>
      </c>
      <c r="J178" s="5">
        <f t="shared" si="10"/>
        <v>985.19999999999993</v>
      </c>
      <c r="K178" s="6">
        <v>0.03</v>
      </c>
      <c r="L178" s="5">
        <f t="shared" si="11"/>
        <v>955.64399999999989</v>
      </c>
      <c r="M178" s="4">
        <v>24</v>
      </c>
      <c r="N178" s="5">
        <f t="shared" si="12"/>
        <v>480</v>
      </c>
      <c r="O178" s="5">
        <f t="shared" si="13"/>
        <v>475.64399999999989</v>
      </c>
      <c r="P178" s="2" t="s">
        <v>19</v>
      </c>
    </row>
    <row r="179" spans="1:16" x14ac:dyDescent="0.3">
      <c r="A179" s="2">
        <f t="shared" si="14"/>
        <v>20250178</v>
      </c>
      <c r="B179" s="25">
        <v>45669</v>
      </c>
      <c r="C179" s="2" t="s">
        <v>486</v>
      </c>
      <c r="D179" s="2" t="s">
        <v>28</v>
      </c>
      <c r="E179" s="20" t="s">
        <v>666</v>
      </c>
      <c r="F179" s="20" t="s">
        <v>188</v>
      </c>
      <c r="G179" s="2" t="s">
        <v>32</v>
      </c>
      <c r="H179" s="3">
        <v>1</v>
      </c>
      <c r="I179" s="4">
        <v>19.43</v>
      </c>
      <c r="J179" s="5">
        <f t="shared" si="10"/>
        <v>19.43</v>
      </c>
      <c r="K179" s="6">
        <v>0.15</v>
      </c>
      <c r="L179" s="5">
        <f t="shared" si="11"/>
        <v>16.515499999999999</v>
      </c>
      <c r="M179" s="4">
        <v>9.5</v>
      </c>
      <c r="N179" s="5">
        <f t="shared" si="12"/>
        <v>9.5</v>
      </c>
      <c r="O179" s="5">
        <f t="shared" si="13"/>
        <v>7.0154999999999994</v>
      </c>
      <c r="P179" s="2" t="s">
        <v>19</v>
      </c>
    </row>
    <row r="180" spans="1:16" x14ac:dyDescent="0.3">
      <c r="A180" s="2">
        <f t="shared" si="14"/>
        <v>20250179</v>
      </c>
      <c r="B180" s="25">
        <v>45669</v>
      </c>
      <c r="C180" s="2" t="s">
        <v>486</v>
      </c>
      <c r="D180" s="2" t="s">
        <v>28</v>
      </c>
      <c r="E180" s="20" t="s">
        <v>667</v>
      </c>
      <c r="F180" s="20" t="s">
        <v>189</v>
      </c>
      <c r="G180" s="2" t="s">
        <v>27</v>
      </c>
      <c r="H180" s="3">
        <v>90</v>
      </c>
      <c r="I180" s="4">
        <v>46.01</v>
      </c>
      <c r="J180" s="5">
        <f t="shared" si="10"/>
        <v>4140.8999999999996</v>
      </c>
      <c r="K180" s="6">
        <v>0.1</v>
      </c>
      <c r="L180" s="5">
        <f t="shared" si="11"/>
        <v>3726.81</v>
      </c>
      <c r="M180" s="4">
        <v>24</v>
      </c>
      <c r="N180" s="5">
        <f t="shared" si="12"/>
        <v>2160</v>
      </c>
      <c r="O180" s="5">
        <f t="shared" si="13"/>
        <v>1566.81</v>
      </c>
      <c r="P180" s="2" t="s">
        <v>19</v>
      </c>
    </row>
    <row r="181" spans="1:16" x14ac:dyDescent="0.3">
      <c r="A181" s="2">
        <f t="shared" si="14"/>
        <v>20250180</v>
      </c>
      <c r="B181" s="25">
        <v>45669</v>
      </c>
      <c r="C181" s="2" t="s">
        <v>486</v>
      </c>
      <c r="D181" s="2" t="s">
        <v>24</v>
      </c>
      <c r="E181" s="20" t="s">
        <v>668</v>
      </c>
      <c r="F181" s="20" t="s">
        <v>190</v>
      </c>
      <c r="G181" s="2" t="s">
        <v>43</v>
      </c>
      <c r="H181" s="3">
        <v>23</v>
      </c>
      <c r="I181" s="4">
        <v>14.74</v>
      </c>
      <c r="J181" s="5">
        <f t="shared" si="10"/>
        <v>339.02</v>
      </c>
      <c r="K181" s="6">
        <v>0.03</v>
      </c>
      <c r="L181" s="5">
        <f t="shared" si="11"/>
        <v>328.84939999999995</v>
      </c>
      <c r="M181" s="4">
        <v>3</v>
      </c>
      <c r="N181" s="5">
        <f t="shared" si="12"/>
        <v>69</v>
      </c>
      <c r="O181" s="5">
        <f t="shared" si="13"/>
        <v>259.84939999999995</v>
      </c>
      <c r="P181" s="2" t="s">
        <v>19</v>
      </c>
    </row>
    <row r="182" spans="1:16" x14ac:dyDescent="0.3">
      <c r="A182" s="2">
        <f t="shared" si="14"/>
        <v>20250181</v>
      </c>
      <c r="B182" s="25">
        <v>45669</v>
      </c>
      <c r="C182" s="2" t="s">
        <v>486</v>
      </c>
      <c r="D182" s="2" t="s">
        <v>28</v>
      </c>
      <c r="E182" s="20" t="s">
        <v>669</v>
      </c>
      <c r="F182" s="20" t="s">
        <v>191</v>
      </c>
      <c r="G182" s="2" t="s">
        <v>18</v>
      </c>
      <c r="H182" s="3">
        <v>23</v>
      </c>
      <c r="I182" s="4">
        <v>9.31</v>
      </c>
      <c r="J182" s="5">
        <f t="shared" si="10"/>
        <v>214.13000000000002</v>
      </c>
      <c r="K182" s="6">
        <v>0.1</v>
      </c>
      <c r="L182" s="5">
        <f t="shared" si="11"/>
        <v>192.71700000000001</v>
      </c>
      <c r="M182" s="4">
        <v>1</v>
      </c>
      <c r="N182" s="5">
        <f t="shared" si="12"/>
        <v>23</v>
      </c>
      <c r="O182" s="5">
        <f t="shared" si="13"/>
        <v>169.71700000000001</v>
      </c>
      <c r="P182" s="2" t="s">
        <v>19</v>
      </c>
    </row>
    <row r="183" spans="1:16" x14ac:dyDescent="0.3">
      <c r="A183" s="2">
        <f t="shared" si="14"/>
        <v>20250182</v>
      </c>
      <c r="B183" s="25">
        <v>45669</v>
      </c>
      <c r="C183" s="2" t="s">
        <v>486</v>
      </c>
      <c r="D183" s="2" t="s">
        <v>28</v>
      </c>
      <c r="E183" s="20" t="s">
        <v>670</v>
      </c>
      <c r="F183" s="20" t="s">
        <v>192</v>
      </c>
      <c r="G183" s="2" t="s">
        <v>27</v>
      </c>
      <c r="H183" s="3">
        <v>8</v>
      </c>
      <c r="I183" s="4">
        <v>41.31</v>
      </c>
      <c r="J183" s="5">
        <f t="shared" ref="J183:J246" si="15">H183*I183</f>
        <v>330.48</v>
      </c>
      <c r="K183" s="6">
        <v>0.1</v>
      </c>
      <c r="L183" s="5">
        <f t="shared" ref="L183:L246" si="16">IF(P183="Returned",0,J183*(1-K183))</f>
        <v>297.43200000000002</v>
      </c>
      <c r="M183" s="4">
        <v>24</v>
      </c>
      <c r="N183" s="5">
        <f t="shared" ref="N183:N246" si="17">IF(P183="Returned",0,H183*M183)</f>
        <v>192</v>
      </c>
      <c r="O183" s="5">
        <f t="shared" ref="O183:O246" si="18">L183-N183</f>
        <v>105.43200000000002</v>
      </c>
      <c r="P183" s="2" t="s">
        <v>19</v>
      </c>
    </row>
    <row r="184" spans="1:16" x14ac:dyDescent="0.3">
      <c r="A184" s="2">
        <f t="shared" si="14"/>
        <v>20250183</v>
      </c>
      <c r="B184" s="25">
        <v>45669</v>
      </c>
      <c r="C184" s="2" t="s">
        <v>486</v>
      </c>
      <c r="D184" s="2" t="s">
        <v>24</v>
      </c>
      <c r="E184" s="20" t="s">
        <v>671</v>
      </c>
      <c r="F184" s="20" t="s">
        <v>193</v>
      </c>
      <c r="G184" s="2" t="s">
        <v>21</v>
      </c>
      <c r="H184" s="3">
        <v>8</v>
      </c>
      <c r="I184" s="4">
        <v>29.04</v>
      </c>
      <c r="J184" s="5">
        <f t="shared" si="15"/>
        <v>232.32</v>
      </c>
      <c r="K184" s="6">
        <v>0.03</v>
      </c>
      <c r="L184" s="5">
        <f t="shared" si="16"/>
        <v>225.35039999999998</v>
      </c>
      <c r="M184" s="4">
        <v>15</v>
      </c>
      <c r="N184" s="5">
        <f t="shared" si="17"/>
        <v>120</v>
      </c>
      <c r="O184" s="5">
        <f t="shared" si="18"/>
        <v>105.35039999999998</v>
      </c>
      <c r="P184" s="2" t="s">
        <v>19</v>
      </c>
    </row>
    <row r="185" spans="1:16" x14ac:dyDescent="0.3">
      <c r="A185" s="2">
        <f t="shared" si="14"/>
        <v>20250184</v>
      </c>
      <c r="B185" s="25">
        <v>45669</v>
      </c>
      <c r="C185" s="2" t="s">
        <v>486</v>
      </c>
      <c r="D185" s="2" t="s">
        <v>16</v>
      </c>
      <c r="E185" s="20" t="s">
        <v>672</v>
      </c>
      <c r="F185" s="20" t="s">
        <v>194</v>
      </c>
      <c r="G185" s="2" t="s">
        <v>18</v>
      </c>
      <c r="H185" s="3">
        <v>17</v>
      </c>
      <c r="I185" s="4">
        <v>11.09</v>
      </c>
      <c r="J185" s="5">
        <f t="shared" si="15"/>
        <v>188.53</v>
      </c>
      <c r="K185" s="6">
        <v>0.05</v>
      </c>
      <c r="L185" s="5">
        <f t="shared" si="16"/>
        <v>179.1035</v>
      </c>
      <c r="M185" s="4">
        <v>1</v>
      </c>
      <c r="N185" s="5">
        <f t="shared" si="17"/>
        <v>17</v>
      </c>
      <c r="O185" s="5">
        <f t="shared" si="18"/>
        <v>162.1035</v>
      </c>
      <c r="P185" s="2" t="s">
        <v>19</v>
      </c>
    </row>
    <row r="186" spans="1:16" x14ac:dyDescent="0.3">
      <c r="A186" s="2">
        <f t="shared" si="14"/>
        <v>20250185</v>
      </c>
      <c r="B186" s="25">
        <v>45669</v>
      </c>
      <c r="C186" s="2" t="s">
        <v>486</v>
      </c>
      <c r="D186" s="2" t="s">
        <v>28</v>
      </c>
      <c r="E186" s="20" t="s">
        <v>673</v>
      </c>
      <c r="F186" s="20" t="s">
        <v>195</v>
      </c>
      <c r="G186" s="2" t="s">
        <v>27</v>
      </c>
      <c r="H186" s="3">
        <v>84</v>
      </c>
      <c r="I186" s="4">
        <v>40.04</v>
      </c>
      <c r="J186" s="5">
        <f t="shared" si="15"/>
        <v>3363.36</v>
      </c>
      <c r="K186" s="6">
        <v>0.05</v>
      </c>
      <c r="L186" s="5">
        <f t="shared" si="16"/>
        <v>3195.192</v>
      </c>
      <c r="M186" s="4">
        <v>24</v>
      </c>
      <c r="N186" s="5">
        <f t="shared" si="17"/>
        <v>2016</v>
      </c>
      <c r="O186" s="5">
        <f t="shared" si="18"/>
        <v>1179.192</v>
      </c>
      <c r="P186" s="2" t="s">
        <v>19</v>
      </c>
    </row>
    <row r="187" spans="1:16" x14ac:dyDescent="0.3">
      <c r="A187" s="2">
        <f t="shared" si="14"/>
        <v>20250186</v>
      </c>
      <c r="B187" s="25">
        <v>45669</v>
      </c>
      <c r="C187" s="2" t="s">
        <v>486</v>
      </c>
      <c r="D187" s="2" t="s">
        <v>24</v>
      </c>
      <c r="E187" s="20" t="s">
        <v>674</v>
      </c>
      <c r="F187" s="20" t="s">
        <v>196</v>
      </c>
      <c r="G187" s="2" t="s">
        <v>43</v>
      </c>
      <c r="H187" s="3">
        <v>14</v>
      </c>
      <c r="I187" s="4">
        <v>16.34</v>
      </c>
      <c r="J187" s="5">
        <f t="shared" si="15"/>
        <v>228.76</v>
      </c>
      <c r="K187" s="6">
        <v>0.02</v>
      </c>
      <c r="L187" s="5">
        <f t="shared" si="16"/>
        <v>224.1848</v>
      </c>
      <c r="M187" s="4">
        <v>3</v>
      </c>
      <c r="N187" s="5">
        <f t="shared" si="17"/>
        <v>42</v>
      </c>
      <c r="O187" s="5">
        <f t="shared" si="18"/>
        <v>182.1848</v>
      </c>
      <c r="P187" s="2" t="s">
        <v>19</v>
      </c>
    </row>
    <row r="188" spans="1:16" x14ac:dyDescent="0.3">
      <c r="A188" s="2">
        <f t="shared" si="14"/>
        <v>20250187</v>
      </c>
      <c r="B188" s="25">
        <v>45669</v>
      </c>
      <c r="C188" s="2" t="s">
        <v>486</v>
      </c>
      <c r="D188" s="2" t="s">
        <v>28</v>
      </c>
      <c r="E188" s="20" t="s">
        <v>945</v>
      </c>
      <c r="F188" s="20" t="s">
        <v>197</v>
      </c>
      <c r="G188" s="2" t="s">
        <v>21</v>
      </c>
      <c r="H188" s="3">
        <v>56</v>
      </c>
      <c r="I188" s="4">
        <v>29.16</v>
      </c>
      <c r="J188" s="5">
        <f t="shared" si="15"/>
        <v>1632.96</v>
      </c>
      <c r="K188" s="6">
        <v>0.05</v>
      </c>
      <c r="L188" s="5">
        <f t="shared" si="16"/>
        <v>1551.3119999999999</v>
      </c>
      <c r="M188" s="4">
        <v>15</v>
      </c>
      <c r="N188" s="5">
        <f t="shared" si="17"/>
        <v>840</v>
      </c>
      <c r="O188" s="5">
        <f t="shared" si="18"/>
        <v>711.3119999999999</v>
      </c>
      <c r="P188" s="2" t="s">
        <v>19</v>
      </c>
    </row>
    <row r="189" spans="1:16" x14ac:dyDescent="0.3">
      <c r="A189" s="2">
        <f t="shared" si="14"/>
        <v>20250188</v>
      </c>
      <c r="B189" s="25">
        <v>45669</v>
      </c>
      <c r="C189" s="2" t="s">
        <v>486</v>
      </c>
      <c r="D189" s="2" t="s">
        <v>24</v>
      </c>
      <c r="E189" s="20" t="s">
        <v>675</v>
      </c>
      <c r="F189" s="20" t="s">
        <v>198</v>
      </c>
      <c r="G189" s="2" t="s">
        <v>27</v>
      </c>
      <c r="H189" s="3">
        <v>4</v>
      </c>
      <c r="I189" s="4">
        <v>49.79</v>
      </c>
      <c r="J189" s="5">
        <f t="shared" si="15"/>
        <v>199.16</v>
      </c>
      <c r="K189" s="6">
        <v>0.02</v>
      </c>
      <c r="L189" s="5">
        <f t="shared" si="16"/>
        <v>195.17679999999999</v>
      </c>
      <c r="M189" s="4">
        <v>24</v>
      </c>
      <c r="N189" s="5">
        <f t="shared" si="17"/>
        <v>96</v>
      </c>
      <c r="O189" s="5">
        <f t="shared" si="18"/>
        <v>99.176799999999986</v>
      </c>
      <c r="P189" s="2" t="s">
        <v>19</v>
      </c>
    </row>
    <row r="190" spans="1:16" x14ac:dyDescent="0.3">
      <c r="A190" s="2">
        <f t="shared" si="14"/>
        <v>20250189</v>
      </c>
      <c r="B190" s="25">
        <v>45669</v>
      </c>
      <c r="C190" s="2" t="s">
        <v>486</v>
      </c>
      <c r="D190" s="2" t="s">
        <v>16</v>
      </c>
      <c r="E190" s="20" t="s">
        <v>676</v>
      </c>
      <c r="F190" s="20" t="s">
        <v>199</v>
      </c>
      <c r="G190" s="2" t="s">
        <v>32</v>
      </c>
      <c r="H190" s="3">
        <v>2</v>
      </c>
      <c r="I190" s="4">
        <v>21.07</v>
      </c>
      <c r="J190" s="5">
        <f t="shared" si="15"/>
        <v>42.14</v>
      </c>
      <c r="K190" s="6">
        <v>0.02</v>
      </c>
      <c r="L190" s="5">
        <f t="shared" si="16"/>
        <v>41.297199999999997</v>
      </c>
      <c r="M190" s="4">
        <v>9.5</v>
      </c>
      <c r="N190" s="5">
        <f t="shared" si="17"/>
        <v>19</v>
      </c>
      <c r="O190" s="5">
        <f t="shared" si="18"/>
        <v>22.297199999999997</v>
      </c>
      <c r="P190" s="2" t="s">
        <v>19</v>
      </c>
    </row>
    <row r="191" spans="1:16" x14ac:dyDescent="0.3">
      <c r="A191" s="2">
        <f t="shared" si="14"/>
        <v>20250190</v>
      </c>
      <c r="B191" s="25">
        <v>45669</v>
      </c>
      <c r="C191" s="2" t="s">
        <v>486</v>
      </c>
      <c r="D191" s="2" t="s">
        <v>28</v>
      </c>
      <c r="E191" s="20" t="s">
        <v>677</v>
      </c>
      <c r="F191" s="20" t="s">
        <v>200</v>
      </c>
      <c r="G191" s="2" t="s">
        <v>27</v>
      </c>
      <c r="H191" s="3">
        <v>20</v>
      </c>
      <c r="I191" s="4">
        <v>46.57</v>
      </c>
      <c r="J191" s="5">
        <f t="shared" si="15"/>
        <v>931.4</v>
      </c>
      <c r="K191" s="6">
        <v>0.12</v>
      </c>
      <c r="L191" s="5">
        <f t="shared" si="16"/>
        <v>819.63199999999995</v>
      </c>
      <c r="M191" s="4">
        <v>24</v>
      </c>
      <c r="N191" s="5">
        <f t="shared" si="17"/>
        <v>480</v>
      </c>
      <c r="O191" s="5">
        <f t="shared" si="18"/>
        <v>339.63199999999995</v>
      </c>
      <c r="P191" s="2" t="s">
        <v>19</v>
      </c>
    </row>
    <row r="192" spans="1:16" x14ac:dyDescent="0.3">
      <c r="A192" s="2">
        <f t="shared" si="14"/>
        <v>20250191</v>
      </c>
      <c r="B192" s="25">
        <v>45669</v>
      </c>
      <c r="C192" s="2" t="s">
        <v>486</v>
      </c>
      <c r="D192" s="2" t="s">
        <v>24</v>
      </c>
      <c r="E192" s="20" t="s">
        <v>946</v>
      </c>
      <c r="F192" s="20" t="s">
        <v>201</v>
      </c>
      <c r="G192" s="2" t="s">
        <v>27</v>
      </c>
      <c r="H192" s="3">
        <v>16</v>
      </c>
      <c r="I192" s="4">
        <v>50.81</v>
      </c>
      <c r="J192" s="5">
        <f t="shared" si="15"/>
        <v>812.96</v>
      </c>
      <c r="K192" s="6">
        <v>0.05</v>
      </c>
      <c r="L192" s="5">
        <f t="shared" si="16"/>
        <v>772.31200000000001</v>
      </c>
      <c r="M192" s="4">
        <v>24</v>
      </c>
      <c r="N192" s="5">
        <f t="shared" si="17"/>
        <v>384</v>
      </c>
      <c r="O192" s="5">
        <f t="shared" si="18"/>
        <v>388.31200000000001</v>
      </c>
      <c r="P192" s="2" t="s">
        <v>19</v>
      </c>
    </row>
    <row r="193" spans="1:16" x14ac:dyDescent="0.3">
      <c r="A193" s="2">
        <f t="shared" si="14"/>
        <v>20250192</v>
      </c>
      <c r="B193" s="25">
        <v>45669</v>
      </c>
      <c r="C193" s="2" t="s">
        <v>486</v>
      </c>
      <c r="D193" s="2" t="s">
        <v>24</v>
      </c>
      <c r="E193" s="20" t="s">
        <v>678</v>
      </c>
      <c r="F193" s="20" t="s">
        <v>202</v>
      </c>
      <c r="G193" s="2" t="s">
        <v>27</v>
      </c>
      <c r="H193" s="3">
        <v>9</v>
      </c>
      <c r="I193" s="4">
        <v>53.46</v>
      </c>
      <c r="J193" s="5">
        <f t="shared" si="15"/>
        <v>481.14</v>
      </c>
      <c r="K193" s="6">
        <v>0.03</v>
      </c>
      <c r="L193" s="5">
        <f t="shared" si="16"/>
        <v>466.70579999999995</v>
      </c>
      <c r="M193" s="4">
        <v>24</v>
      </c>
      <c r="N193" s="5">
        <f t="shared" si="17"/>
        <v>216</v>
      </c>
      <c r="O193" s="5">
        <f t="shared" si="18"/>
        <v>250.70579999999995</v>
      </c>
      <c r="P193" s="2" t="s">
        <v>19</v>
      </c>
    </row>
    <row r="194" spans="1:16" x14ac:dyDescent="0.3">
      <c r="A194" s="2">
        <f t="shared" si="14"/>
        <v>20250193</v>
      </c>
      <c r="B194" s="25">
        <v>45669</v>
      </c>
      <c r="C194" s="2" t="s">
        <v>486</v>
      </c>
      <c r="D194" s="2" t="s">
        <v>28</v>
      </c>
      <c r="E194" s="20" t="s">
        <v>679</v>
      </c>
      <c r="F194" s="20" t="s">
        <v>947</v>
      </c>
      <c r="G194" s="2" t="s">
        <v>27</v>
      </c>
      <c r="H194" s="3">
        <v>22</v>
      </c>
      <c r="I194" s="4">
        <v>43.63</v>
      </c>
      <c r="J194" s="5">
        <f t="shared" si="15"/>
        <v>959.86</v>
      </c>
      <c r="K194" s="6">
        <v>0.15</v>
      </c>
      <c r="L194" s="5">
        <f t="shared" si="16"/>
        <v>815.88099999999997</v>
      </c>
      <c r="M194" s="4">
        <v>24</v>
      </c>
      <c r="N194" s="5">
        <f t="shared" si="17"/>
        <v>528</v>
      </c>
      <c r="O194" s="5">
        <f t="shared" si="18"/>
        <v>287.88099999999997</v>
      </c>
      <c r="P194" s="2" t="s">
        <v>19</v>
      </c>
    </row>
    <row r="195" spans="1:16" x14ac:dyDescent="0.3">
      <c r="A195" s="2">
        <f t="shared" si="14"/>
        <v>20250194</v>
      </c>
      <c r="B195" s="25">
        <v>45669</v>
      </c>
      <c r="C195" s="2" t="s">
        <v>486</v>
      </c>
      <c r="D195" s="2" t="s">
        <v>28</v>
      </c>
      <c r="E195" s="20" t="s">
        <v>680</v>
      </c>
      <c r="F195" s="20" t="s">
        <v>203</v>
      </c>
      <c r="G195" s="2" t="s">
        <v>18</v>
      </c>
      <c r="H195" s="3">
        <v>98</v>
      </c>
      <c r="I195" s="4">
        <v>8.35</v>
      </c>
      <c r="J195" s="5">
        <f t="shared" si="15"/>
        <v>818.3</v>
      </c>
      <c r="K195" s="6">
        <v>0.15</v>
      </c>
      <c r="L195" s="5">
        <f t="shared" si="16"/>
        <v>695.55499999999995</v>
      </c>
      <c r="M195" s="4">
        <v>1</v>
      </c>
      <c r="N195" s="5">
        <f t="shared" si="17"/>
        <v>98</v>
      </c>
      <c r="O195" s="5">
        <f t="shared" si="18"/>
        <v>597.55499999999995</v>
      </c>
      <c r="P195" s="2" t="s">
        <v>19</v>
      </c>
    </row>
    <row r="196" spans="1:16" x14ac:dyDescent="0.3">
      <c r="A196" s="2">
        <f t="shared" ref="A196:A238" si="19">A195+1</f>
        <v>20250195</v>
      </c>
      <c r="B196" s="25">
        <v>45669</v>
      </c>
      <c r="C196" s="2" t="s">
        <v>486</v>
      </c>
      <c r="D196" s="2" t="s">
        <v>16</v>
      </c>
      <c r="E196" s="20" t="s">
        <v>681</v>
      </c>
      <c r="F196" s="20" t="s">
        <v>204</v>
      </c>
      <c r="G196" s="2" t="s">
        <v>21</v>
      </c>
      <c r="H196" s="3">
        <v>22</v>
      </c>
      <c r="I196" s="4">
        <v>34.53</v>
      </c>
      <c r="J196" s="5">
        <f t="shared" si="15"/>
        <v>759.66000000000008</v>
      </c>
      <c r="K196" s="6">
        <v>7.0000000000000007E-2</v>
      </c>
      <c r="L196" s="5">
        <f t="shared" si="16"/>
        <v>706.48379999999997</v>
      </c>
      <c r="M196" s="4">
        <v>15</v>
      </c>
      <c r="N196" s="5">
        <f t="shared" si="17"/>
        <v>330</v>
      </c>
      <c r="O196" s="5">
        <f t="shared" si="18"/>
        <v>376.48379999999997</v>
      </c>
      <c r="P196" s="2" t="s">
        <v>19</v>
      </c>
    </row>
    <row r="197" spans="1:16" x14ac:dyDescent="0.3">
      <c r="A197" s="2">
        <f t="shared" si="19"/>
        <v>20250196</v>
      </c>
      <c r="B197" s="25">
        <v>45670</v>
      </c>
      <c r="C197" s="2" t="s">
        <v>486</v>
      </c>
      <c r="D197" s="2" t="s">
        <v>24</v>
      </c>
      <c r="E197" s="20" t="s">
        <v>682</v>
      </c>
      <c r="F197" s="20" t="s">
        <v>205</v>
      </c>
      <c r="G197" s="2" t="s">
        <v>27</v>
      </c>
      <c r="H197" s="3">
        <v>20</v>
      </c>
      <c r="I197" s="4">
        <v>51.18</v>
      </c>
      <c r="J197" s="5">
        <f t="shared" si="15"/>
        <v>1023.6</v>
      </c>
      <c r="K197" s="6">
        <v>0.03</v>
      </c>
      <c r="L197" s="5">
        <f t="shared" si="16"/>
        <v>992.89199999999994</v>
      </c>
      <c r="M197" s="4">
        <v>24</v>
      </c>
      <c r="N197" s="5">
        <f t="shared" si="17"/>
        <v>480</v>
      </c>
      <c r="O197" s="5">
        <f t="shared" si="18"/>
        <v>512.89199999999994</v>
      </c>
      <c r="P197" s="2" t="s">
        <v>19</v>
      </c>
    </row>
    <row r="198" spans="1:16" x14ac:dyDescent="0.3">
      <c r="A198" s="2">
        <f t="shared" si="19"/>
        <v>20250197</v>
      </c>
      <c r="B198" s="25">
        <v>45670</v>
      </c>
      <c r="C198" s="2" t="s">
        <v>486</v>
      </c>
      <c r="D198" s="2" t="s">
        <v>24</v>
      </c>
      <c r="E198" s="20" t="s">
        <v>683</v>
      </c>
      <c r="F198" s="20" t="s">
        <v>206</v>
      </c>
      <c r="G198" s="2" t="s">
        <v>18</v>
      </c>
      <c r="H198" s="3">
        <v>11</v>
      </c>
      <c r="I198" s="4">
        <v>10.4</v>
      </c>
      <c r="J198" s="5">
        <f t="shared" si="15"/>
        <v>114.4</v>
      </c>
      <c r="K198" s="6">
        <v>0.05</v>
      </c>
      <c r="L198" s="5">
        <f t="shared" si="16"/>
        <v>108.68</v>
      </c>
      <c r="M198" s="4">
        <v>1</v>
      </c>
      <c r="N198" s="5">
        <f t="shared" si="17"/>
        <v>11</v>
      </c>
      <c r="O198" s="5">
        <f t="shared" si="18"/>
        <v>97.68</v>
      </c>
      <c r="P198" s="2" t="s">
        <v>19</v>
      </c>
    </row>
    <row r="199" spans="1:16" x14ac:dyDescent="0.3">
      <c r="A199" s="2">
        <f t="shared" si="19"/>
        <v>20250198</v>
      </c>
      <c r="B199" s="25">
        <v>45670</v>
      </c>
      <c r="C199" s="2" t="s">
        <v>486</v>
      </c>
      <c r="D199" s="2" t="s">
        <v>28</v>
      </c>
      <c r="E199" s="20" t="s">
        <v>684</v>
      </c>
      <c r="F199" s="20" t="s">
        <v>207</v>
      </c>
      <c r="G199" s="2" t="s">
        <v>27</v>
      </c>
      <c r="H199" s="3">
        <v>108</v>
      </c>
      <c r="I199" s="4">
        <v>38</v>
      </c>
      <c r="J199" s="5">
        <f t="shared" si="15"/>
        <v>4104</v>
      </c>
      <c r="K199" s="6">
        <v>0.1</v>
      </c>
      <c r="L199" s="5">
        <f t="shared" si="16"/>
        <v>3693.6</v>
      </c>
      <c r="M199" s="4">
        <v>24</v>
      </c>
      <c r="N199" s="5">
        <f t="shared" si="17"/>
        <v>2592</v>
      </c>
      <c r="O199" s="5">
        <f t="shared" si="18"/>
        <v>1101.5999999999999</v>
      </c>
      <c r="P199" s="2" t="s">
        <v>19</v>
      </c>
    </row>
    <row r="200" spans="1:16" x14ac:dyDescent="0.3">
      <c r="A200" s="2">
        <f t="shared" si="19"/>
        <v>20250199</v>
      </c>
      <c r="B200" s="25">
        <v>45670</v>
      </c>
      <c r="C200" s="2" t="s">
        <v>486</v>
      </c>
      <c r="D200" s="2" t="s">
        <v>24</v>
      </c>
      <c r="E200" s="20" t="s">
        <v>685</v>
      </c>
      <c r="F200" s="20" t="s">
        <v>208</v>
      </c>
      <c r="G200" s="2" t="s">
        <v>21</v>
      </c>
      <c r="H200" s="3">
        <v>24</v>
      </c>
      <c r="I200" s="4">
        <v>28.22</v>
      </c>
      <c r="J200" s="5">
        <f t="shared" si="15"/>
        <v>677.28</v>
      </c>
      <c r="K200" s="6">
        <v>0.03</v>
      </c>
      <c r="L200" s="5">
        <f t="shared" si="16"/>
        <v>656.96159999999998</v>
      </c>
      <c r="M200" s="4">
        <v>15</v>
      </c>
      <c r="N200" s="5">
        <f t="shared" si="17"/>
        <v>360</v>
      </c>
      <c r="O200" s="5">
        <f t="shared" si="18"/>
        <v>296.96159999999998</v>
      </c>
      <c r="P200" s="2" t="s">
        <v>19</v>
      </c>
    </row>
    <row r="201" spans="1:16" x14ac:dyDescent="0.3">
      <c r="A201" s="2">
        <f t="shared" si="19"/>
        <v>20250200</v>
      </c>
      <c r="B201" s="25">
        <v>45670</v>
      </c>
      <c r="C201" s="2" t="s">
        <v>486</v>
      </c>
      <c r="D201" s="2" t="s">
        <v>16</v>
      </c>
      <c r="E201" s="20" t="s">
        <v>686</v>
      </c>
      <c r="F201" s="20" t="s">
        <v>209</v>
      </c>
      <c r="G201" s="2" t="s">
        <v>18</v>
      </c>
      <c r="H201" s="3">
        <v>8</v>
      </c>
      <c r="I201" s="4">
        <v>9.02</v>
      </c>
      <c r="J201" s="5">
        <f t="shared" si="15"/>
        <v>72.16</v>
      </c>
      <c r="K201" s="6">
        <v>0</v>
      </c>
      <c r="L201" s="5">
        <f t="shared" si="16"/>
        <v>0</v>
      </c>
      <c r="M201" s="4">
        <v>1</v>
      </c>
      <c r="N201" s="5">
        <f t="shared" si="17"/>
        <v>0</v>
      </c>
      <c r="O201" s="5">
        <f t="shared" si="18"/>
        <v>0</v>
      </c>
      <c r="P201" s="2" t="s">
        <v>22</v>
      </c>
    </row>
    <row r="202" spans="1:16" x14ac:dyDescent="0.3">
      <c r="A202" s="2">
        <f t="shared" si="19"/>
        <v>20250201</v>
      </c>
      <c r="B202" s="25">
        <v>45670</v>
      </c>
      <c r="C202" s="2" t="s">
        <v>486</v>
      </c>
      <c r="D202" s="2" t="s">
        <v>28</v>
      </c>
      <c r="E202" s="20" t="s">
        <v>687</v>
      </c>
      <c r="F202" s="20" t="s">
        <v>210</v>
      </c>
      <c r="G202" s="2" t="s">
        <v>18</v>
      </c>
      <c r="H202" s="3">
        <v>10</v>
      </c>
      <c r="I202" s="4">
        <v>8.15</v>
      </c>
      <c r="J202" s="5">
        <f t="shared" si="15"/>
        <v>81.5</v>
      </c>
      <c r="K202" s="6">
        <v>0.08</v>
      </c>
      <c r="L202" s="5">
        <f t="shared" si="16"/>
        <v>74.98</v>
      </c>
      <c r="M202" s="4">
        <v>1</v>
      </c>
      <c r="N202" s="5">
        <f t="shared" si="17"/>
        <v>10</v>
      </c>
      <c r="O202" s="5">
        <f t="shared" si="18"/>
        <v>64.98</v>
      </c>
      <c r="P202" s="2" t="s">
        <v>19</v>
      </c>
    </row>
    <row r="203" spans="1:16" x14ac:dyDescent="0.3">
      <c r="A203" s="2">
        <f t="shared" si="19"/>
        <v>20250202</v>
      </c>
      <c r="B203" s="25">
        <v>45670</v>
      </c>
      <c r="C203" s="2" t="s">
        <v>486</v>
      </c>
      <c r="D203" s="2" t="s">
        <v>16</v>
      </c>
      <c r="E203" s="20" t="s">
        <v>688</v>
      </c>
      <c r="F203" s="20" t="s">
        <v>211</v>
      </c>
      <c r="G203" s="2" t="s">
        <v>43</v>
      </c>
      <c r="H203" s="3">
        <v>10</v>
      </c>
      <c r="I203" s="4">
        <v>15.17</v>
      </c>
      <c r="J203" s="5">
        <f t="shared" si="15"/>
        <v>151.69999999999999</v>
      </c>
      <c r="K203" s="6">
        <v>0</v>
      </c>
      <c r="L203" s="5">
        <f t="shared" si="16"/>
        <v>151.69999999999999</v>
      </c>
      <c r="M203" s="4">
        <v>3</v>
      </c>
      <c r="N203" s="5">
        <f t="shared" si="17"/>
        <v>30</v>
      </c>
      <c r="O203" s="5">
        <f t="shared" si="18"/>
        <v>121.69999999999999</v>
      </c>
      <c r="P203" s="2" t="s">
        <v>19</v>
      </c>
    </row>
    <row r="204" spans="1:16" x14ac:dyDescent="0.3">
      <c r="A204" s="2">
        <f t="shared" si="19"/>
        <v>20250203</v>
      </c>
      <c r="B204" s="25">
        <v>45670</v>
      </c>
      <c r="C204" s="2" t="s">
        <v>486</v>
      </c>
      <c r="D204" s="2" t="s">
        <v>16</v>
      </c>
      <c r="E204" s="20" t="s">
        <v>689</v>
      </c>
      <c r="F204" s="20" t="s">
        <v>212</v>
      </c>
      <c r="G204" s="2" t="s">
        <v>21</v>
      </c>
      <c r="H204" s="3">
        <v>2</v>
      </c>
      <c r="I204" s="4">
        <v>27.96</v>
      </c>
      <c r="J204" s="5">
        <f t="shared" si="15"/>
        <v>55.92</v>
      </c>
      <c r="K204" s="6">
        <v>0.03</v>
      </c>
      <c r="L204" s="5">
        <f t="shared" si="16"/>
        <v>54.242400000000004</v>
      </c>
      <c r="M204" s="4">
        <v>15</v>
      </c>
      <c r="N204" s="5">
        <f t="shared" si="17"/>
        <v>30</v>
      </c>
      <c r="O204" s="5">
        <f t="shared" si="18"/>
        <v>24.242400000000004</v>
      </c>
      <c r="P204" s="2" t="s">
        <v>19</v>
      </c>
    </row>
    <row r="205" spans="1:16" x14ac:dyDescent="0.3">
      <c r="A205" s="2">
        <f t="shared" si="19"/>
        <v>20250204</v>
      </c>
      <c r="B205" s="25">
        <v>45670</v>
      </c>
      <c r="C205" s="2" t="s">
        <v>486</v>
      </c>
      <c r="D205" s="2" t="s">
        <v>16</v>
      </c>
      <c r="E205" s="20" t="s">
        <v>690</v>
      </c>
      <c r="F205" s="20" t="s">
        <v>213</v>
      </c>
      <c r="G205" s="2" t="s">
        <v>18</v>
      </c>
      <c r="H205" s="3">
        <v>19</v>
      </c>
      <c r="I205" s="4">
        <v>9.33</v>
      </c>
      <c r="J205" s="5">
        <f t="shared" si="15"/>
        <v>177.27</v>
      </c>
      <c r="K205" s="6">
        <v>0.05</v>
      </c>
      <c r="L205" s="5">
        <f t="shared" si="16"/>
        <v>168.40649999999999</v>
      </c>
      <c r="M205" s="4">
        <v>1</v>
      </c>
      <c r="N205" s="5">
        <f t="shared" si="17"/>
        <v>19</v>
      </c>
      <c r="O205" s="5">
        <f t="shared" si="18"/>
        <v>149.40649999999999</v>
      </c>
      <c r="P205" s="2" t="s">
        <v>19</v>
      </c>
    </row>
    <row r="206" spans="1:16" x14ac:dyDescent="0.3">
      <c r="A206" s="2">
        <f t="shared" si="19"/>
        <v>20250205</v>
      </c>
      <c r="B206" s="25">
        <v>45670</v>
      </c>
      <c r="C206" s="2" t="s">
        <v>486</v>
      </c>
      <c r="D206" s="2" t="s">
        <v>28</v>
      </c>
      <c r="E206" s="20" t="s">
        <v>691</v>
      </c>
      <c r="F206" s="20" t="s">
        <v>214</v>
      </c>
      <c r="G206" s="2" t="s">
        <v>27</v>
      </c>
      <c r="H206" s="3">
        <v>17</v>
      </c>
      <c r="I206" s="4">
        <v>43.41</v>
      </c>
      <c r="J206" s="5">
        <f t="shared" si="15"/>
        <v>737.96999999999991</v>
      </c>
      <c r="K206" s="6">
        <v>0.08</v>
      </c>
      <c r="L206" s="5">
        <f t="shared" si="16"/>
        <v>678.93239999999992</v>
      </c>
      <c r="M206" s="4">
        <v>24</v>
      </c>
      <c r="N206" s="5">
        <f t="shared" si="17"/>
        <v>408</v>
      </c>
      <c r="O206" s="5">
        <f t="shared" si="18"/>
        <v>270.93239999999992</v>
      </c>
      <c r="P206" s="2" t="s">
        <v>19</v>
      </c>
    </row>
    <row r="207" spans="1:16" x14ac:dyDescent="0.3">
      <c r="A207" s="2">
        <f t="shared" si="19"/>
        <v>20250206</v>
      </c>
      <c r="B207" s="25">
        <v>45670</v>
      </c>
      <c r="C207" s="2" t="s">
        <v>486</v>
      </c>
      <c r="D207" s="2" t="s">
        <v>24</v>
      </c>
      <c r="E207" s="20" t="s">
        <v>948</v>
      </c>
      <c r="F207" s="20" t="s">
        <v>215</v>
      </c>
      <c r="G207" s="2" t="s">
        <v>43</v>
      </c>
      <c r="H207" s="3">
        <v>24</v>
      </c>
      <c r="I207" s="4">
        <v>16.39</v>
      </c>
      <c r="J207" s="5">
        <f t="shared" si="15"/>
        <v>393.36</v>
      </c>
      <c r="K207" s="6">
        <v>0.02</v>
      </c>
      <c r="L207" s="5">
        <f t="shared" si="16"/>
        <v>385.49279999999999</v>
      </c>
      <c r="M207" s="4">
        <v>3</v>
      </c>
      <c r="N207" s="5">
        <f t="shared" si="17"/>
        <v>72</v>
      </c>
      <c r="O207" s="5">
        <f t="shared" si="18"/>
        <v>313.49279999999999</v>
      </c>
      <c r="P207" s="2" t="s">
        <v>19</v>
      </c>
    </row>
    <row r="208" spans="1:16" x14ac:dyDescent="0.3">
      <c r="A208" s="2">
        <f t="shared" si="19"/>
        <v>20250207</v>
      </c>
      <c r="B208" s="25">
        <v>45670</v>
      </c>
      <c r="C208" s="2" t="s">
        <v>486</v>
      </c>
      <c r="D208" s="2" t="s">
        <v>28</v>
      </c>
      <c r="E208" s="20" t="s">
        <v>692</v>
      </c>
      <c r="F208" s="20" t="s">
        <v>216</v>
      </c>
      <c r="G208" s="2" t="s">
        <v>32</v>
      </c>
      <c r="H208" s="3">
        <v>17</v>
      </c>
      <c r="I208" s="4">
        <v>18.86</v>
      </c>
      <c r="J208" s="5">
        <f t="shared" si="15"/>
        <v>320.62</v>
      </c>
      <c r="K208" s="6">
        <v>0.12</v>
      </c>
      <c r="L208" s="5">
        <f t="shared" si="16"/>
        <v>282.1456</v>
      </c>
      <c r="M208" s="4">
        <v>9.5</v>
      </c>
      <c r="N208" s="5">
        <f t="shared" si="17"/>
        <v>161.5</v>
      </c>
      <c r="O208" s="5">
        <f t="shared" si="18"/>
        <v>120.6456</v>
      </c>
      <c r="P208" s="2" t="s">
        <v>19</v>
      </c>
    </row>
    <row r="209" spans="1:16" x14ac:dyDescent="0.3">
      <c r="A209" s="2">
        <f t="shared" si="19"/>
        <v>20250208</v>
      </c>
      <c r="B209" s="25">
        <v>45670</v>
      </c>
      <c r="C209" s="2" t="s">
        <v>486</v>
      </c>
      <c r="D209" s="2" t="s">
        <v>24</v>
      </c>
      <c r="E209" s="20" t="s">
        <v>693</v>
      </c>
      <c r="F209" s="20" t="s">
        <v>949</v>
      </c>
      <c r="G209" s="2" t="s">
        <v>43</v>
      </c>
      <c r="H209" s="3">
        <v>9</v>
      </c>
      <c r="I209" s="4">
        <v>15.95</v>
      </c>
      <c r="J209" s="5">
        <f t="shared" si="15"/>
        <v>143.54999999999998</v>
      </c>
      <c r="K209" s="6">
        <v>0.03</v>
      </c>
      <c r="L209" s="5">
        <f t="shared" si="16"/>
        <v>139.24349999999998</v>
      </c>
      <c r="M209" s="4">
        <v>3</v>
      </c>
      <c r="N209" s="5">
        <f t="shared" si="17"/>
        <v>27</v>
      </c>
      <c r="O209" s="5">
        <f t="shared" si="18"/>
        <v>112.24349999999998</v>
      </c>
      <c r="P209" s="2" t="s">
        <v>19</v>
      </c>
    </row>
    <row r="210" spans="1:16" x14ac:dyDescent="0.3">
      <c r="A210" s="2">
        <f t="shared" si="19"/>
        <v>20250209</v>
      </c>
      <c r="B210" s="25">
        <v>45670</v>
      </c>
      <c r="C210" s="2" t="s">
        <v>486</v>
      </c>
      <c r="D210" s="2" t="s">
        <v>28</v>
      </c>
      <c r="E210" s="20" t="s">
        <v>694</v>
      </c>
      <c r="F210" s="20" t="s">
        <v>217</v>
      </c>
      <c r="G210" s="2" t="s">
        <v>27</v>
      </c>
      <c r="H210" s="3">
        <v>21</v>
      </c>
      <c r="I210" s="4">
        <v>51.84</v>
      </c>
      <c r="J210" s="5">
        <f t="shared" si="15"/>
        <v>1088.6400000000001</v>
      </c>
      <c r="K210" s="6">
        <v>0.08</v>
      </c>
      <c r="L210" s="5">
        <f t="shared" si="16"/>
        <v>1001.5488000000001</v>
      </c>
      <c r="M210" s="4">
        <v>24</v>
      </c>
      <c r="N210" s="5">
        <f t="shared" si="17"/>
        <v>504</v>
      </c>
      <c r="O210" s="5">
        <f t="shared" si="18"/>
        <v>497.54880000000014</v>
      </c>
      <c r="P210" s="2" t="s">
        <v>19</v>
      </c>
    </row>
    <row r="211" spans="1:16" x14ac:dyDescent="0.3">
      <c r="A211" s="2">
        <f t="shared" si="19"/>
        <v>20250210</v>
      </c>
      <c r="B211" s="25">
        <v>45670</v>
      </c>
      <c r="C211" s="2" t="s">
        <v>486</v>
      </c>
      <c r="D211" s="2" t="s">
        <v>16</v>
      </c>
      <c r="E211" s="20" t="s">
        <v>695</v>
      </c>
      <c r="F211" s="20" t="s">
        <v>218</v>
      </c>
      <c r="G211" s="2" t="s">
        <v>18</v>
      </c>
      <c r="H211" s="3">
        <v>23</v>
      </c>
      <c r="I211" s="4">
        <v>9.19</v>
      </c>
      <c r="J211" s="5">
        <f t="shared" si="15"/>
        <v>211.36999999999998</v>
      </c>
      <c r="K211" s="6">
        <v>0.05</v>
      </c>
      <c r="L211" s="5">
        <f t="shared" si="16"/>
        <v>200.80149999999998</v>
      </c>
      <c r="M211" s="4">
        <v>1</v>
      </c>
      <c r="N211" s="5">
        <f t="shared" si="17"/>
        <v>23</v>
      </c>
      <c r="O211" s="5">
        <f t="shared" si="18"/>
        <v>177.80149999999998</v>
      </c>
      <c r="P211" s="2" t="s">
        <v>19</v>
      </c>
    </row>
    <row r="212" spans="1:16" x14ac:dyDescent="0.3">
      <c r="A212" s="2">
        <f t="shared" si="19"/>
        <v>20250211</v>
      </c>
      <c r="B212" s="25">
        <v>45670</v>
      </c>
      <c r="C212" s="2" t="s">
        <v>486</v>
      </c>
      <c r="D212" s="2" t="s">
        <v>28</v>
      </c>
      <c r="E212" s="20" t="s">
        <v>696</v>
      </c>
      <c r="F212" s="20" t="s">
        <v>219</v>
      </c>
      <c r="G212" s="2" t="s">
        <v>32</v>
      </c>
      <c r="H212" s="3">
        <v>105</v>
      </c>
      <c r="I212" s="4">
        <v>19.96</v>
      </c>
      <c r="J212" s="5">
        <f t="shared" si="15"/>
        <v>2095.8000000000002</v>
      </c>
      <c r="K212" s="6">
        <v>0.1</v>
      </c>
      <c r="L212" s="5">
        <f t="shared" si="16"/>
        <v>1886.2200000000003</v>
      </c>
      <c r="M212" s="4">
        <v>9.5</v>
      </c>
      <c r="N212" s="5">
        <f t="shared" si="17"/>
        <v>997.5</v>
      </c>
      <c r="O212" s="5">
        <f t="shared" si="18"/>
        <v>888.72000000000025</v>
      </c>
      <c r="P212" s="2" t="s">
        <v>19</v>
      </c>
    </row>
    <row r="213" spans="1:16" x14ac:dyDescent="0.3">
      <c r="A213" s="2">
        <f t="shared" si="19"/>
        <v>20250212</v>
      </c>
      <c r="B213" s="25">
        <v>45670</v>
      </c>
      <c r="C213" s="2" t="s">
        <v>486</v>
      </c>
      <c r="D213" s="2" t="s">
        <v>16</v>
      </c>
      <c r="E213" s="20" t="s">
        <v>950</v>
      </c>
      <c r="F213" s="20" t="s">
        <v>220</v>
      </c>
      <c r="G213" s="2" t="s">
        <v>27</v>
      </c>
      <c r="H213" s="3">
        <v>17</v>
      </c>
      <c r="I213" s="4">
        <v>50.77</v>
      </c>
      <c r="J213" s="5">
        <f t="shared" si="15"/>
        <v>863.09</v>
      </c>
      <c r="K213" s="6">
        <v>0.02</v>
      </c>
      <c r="L213" s="5">
        <f t="shared" si="16"/>
        <v>845.82820000000004</v>
      </c>
      <c r="M213" s="4">
        <v>24</v>
      </c>
      <c r="N213" s="5">
        <f t="shared" si="17"/>
        <v>408</v>
      </c>
      <c r="O213" s="5">
        <f t="shared" si="18"/>
        <v>437.82820000000004</v>
      </c>
      <c r="P213" s="2" t="s">
        <v>19</v>
      </c>
    </row>
    <row r="214" spans="1:16" x14ac:dyDescent="0.3">
      <c r="A214" s="2">
        <f t="shared" si="19"/>
        <v>20250213</v>
      </c>
      <c r="B214" s="25">
        <v>45670</v>
      </c>
      <c r="C214" s="2" t="s">
        <v>486</v>
      </c>
      <c r="D214" s="2" t="s">
        <v>28</v>
      </c>
      <c r="E214" s="20" t="s">
        <v>697</v>
      </c>
      <c r="F214" s="20" t="s">
        <v>221</v>
      </c>
      <c r="G214" s="2" t="s">
        <v>21</v>
      </c>
      <c r="H214" s="3">
        <v>6</v>
      </c>
      <c r="I214" s="4">
        <v>32.82</v>
      </c>
      <c r="J214" s="5">
        <f t="shared" si="15"/>
        <v>196.92000000000002</v>
      </c>
      <c r="K214" s="6">
        <v>0.15</v>
      </c>
      <c r="L214" s="5">
        <f t="shared" si="16"/>
        <v>167.38200000000001</v>
      </c>
      <c r="M214" s="4">
        <v>15</v>
      </c>
      <c r="N214" s="5">
        <f t="shared" si="17"/>
        <v>90</v>
      </c>
      <c r="O214" s="5">
        <f t="shared" si="18"/>
        <v>77.382000000000005</v>
      </c>
      <c r="P214" s="2" t="s">
        <v>19</v>
      </c>
    </row>
    <row r="215" spans="1:16" x14ac:dyDescent="0.3">
      <c r="A215" s="2">
        <f t="shared" si="19"/>
        <v>20250214</v>
      </c>
      <c r="B215" s="25">
        <v>45670</v>
      </c>
      <c r="C215" s="2" t="s">
        <v>486</v>
      </c>
      <c r="D215" s="2" t="s">
        <v>28</v>
      </c>
      <c r="E215" s="20" t="s">
        <v>698</v>
      </c>
      <c r="F215" s="20" t="s">
        <v>951</v>
      </c>
      <c r="G215" s="2" t="s">
        <v>27</v>
      </c>
      <c r="H215" s="3">
        <v>113</v>
      </c>
      <c r="I215" s="4">
        <v>38.57</v>
      </c>
      <c r="J215" s="5">
        <f t="shared" si="15"/>
        <v>4358.41</v>
      </c>
      <c r="K215" s="6">
        <v>0.08</v>
      </c>
      <c r="L215" s="5">
        <f t="shared" si="16"/>
        <v>4009.7372</v>
      </c>
      <c r="M215" s="4">
        <v>24</v>
      </c>
      <c r="N215" s="5">
        <f t="shared" si="17"/>
        <v>2712</v>
      </c>
      <c r="O215" s="5">
        <f t="shared" si="18"/>
        <v>1297.7372</v>
      </c>
      <c r="P215" s="2" t="s">
        <v>19</v>
      </c>
    </row>
    <row r="216" spans="1:16" x14ac:dyDescent="0.3">
      <c r="A216" s="2">
        <f t="shared" si="19"/>
        <v>20250215</v>
      </c>
      <c r="B216" s="25">
        <v>45671</v>
      </c>
      <c r="C216" s="2" t="s">
        <v>486</v>
      </c>
      <c r="D216" s="2" t="s">
        <v>28</v>
      </c>
      <c r="E216" s="20" t="s">
        <v>699</v>
      </c>
      <c r="F216" s="20" t="s">
        <v>222</v>
      </c>
      <c r="G216" s="2" t="s">
        <v>21</v>
      </c>
      <c r="H216" s="3">
        <v>24</v>
      </c>
      <c r="I216" s="4">
        <v>25.79</v>
      </c>
      <c r="J216" s="5">
        <f t="shared" si="15"/>
        <v>618.96</v>
      </c>
      <c r="K216" s="6">
        <v>0.1</v>
      </c>
      <c r="L216" s="5">
        <f t="shared" si="16"/>
        <v>557.06400000000008</v>
      </c>
      <c r="M216" s="4">
        <v>15</v>
      </c>
      <c r="N216" s="5">
        <f t="shared" si="17"/>
        <v>360</v>
      </c>
      <c r="O216" s="5">
        <f t="shared" si="18"/>
        <v>197.06400000000008</v>
      </c>
      <c r="P216" s="2" t="s">
        <v>19</v>
      </c>
    </row>
    <row r="217" spans="1:16" x14ac:dyDescent="0.3">
      <c r="A217" s="2">
        <f t="shared" si="19"/>
        <v>20250216</v>
      </c>
      <c r="B217" s="25">
        <v>45671</v>
      </c>
      <c r="C217" s="2" t="s">
        <v>486</v>
      </c>
      <c r="D217" s="2" t="s">
        <v>16</v>
      </c>
      <c r="E217" s="20" t="s">
        <v>700</v>
      </c>
      <c r="F217" s="20" t="s">
        <v>223</v>
      </c>
      <c r="G217" s="2" t="s">
        <v>21</v>
      </c>
      <c r="H217" s="3">
        <v>23</v>
      </c>
      <c r="I217" s="4">
        <v>29.62</v>
      </c>
      <c r="J217" s="5">
        <f t="shared" si="15"/>
        <v>681.26</v>
      </c>
      <c r="K217" s="6">
        <v>0</v>
      </c>
      <c r="L217" s="5">
        <f t="shared" si="16"/>
        <v>681.26</v>
      </c>
      <c r="M217" s="4">
        <v>15</v>
      </c>
      <c r="N217" s="5">
        <f t="shared" si="17"/>
        <v>345</v>
      </c>
      <c r="O217" s="5">
        <f t="shared" si="18"/>
        <v>336.26</v>
      </c>
      <c r="P217" s="2" t="s">
        <v>19</v>
      </c>
    </row>
    <row r="218" spans="1:16" x14ac:dyDescent="0.3">
      <c r="A218" s="2">
        <f t="shared" si="19"/>
        <v>20250217</v>
      </c>
      <c r="B218" s="25">
        <v>45671</v>
      </c>
      <c r="C218" s="2" t="s">
        <v>486</v>
      </c>
      <c r="D218" s="2" t="s">
        <v>24</v>
      </c>
      <c r="E218" s="20" t="s">
        <v>701</v>
      </c>
      <c r="F218" s="20" t="s">
        <v>224</v>
      </c>
      <c r="G218" s="2" t="s">
        <v>21</v>
      </c>
      <c r="H218" s="3">
        <v>25</v>
      </c>
      <c r="I218" s="4">
        <v>32.520000000000003</v>
      </c>
      <c r="J218" s="5">
        <f t="shared" si="15"/>
        <v>813.00000000000011</v>
      </c>
      <c r="K218" s="6">
        <v>0.03</v>
      </c>
      <c r="L218" s="5">
        <f t="shared" si="16"/>
        <v>788.61000000000013</v>
      </c>
      <c r="M218" s="4">
        <v>15</v>
      </c>
      <c r="N218" s="5">
        <f t="shared" si="17"/>
        <v>375</v>
      </c>
      <c r="O218" s="5">
        <f t="shared" si="18"/>
        <v>413.61000000000013</v>
      </c>
      <c r="P218" s="2" t="s">
        <v>19</v>
      </c>
    </row>
    <row r="219" spans="1:16" x14ac:dyDescent="0.3">
      <c r="A219" s="2">
        <f t="shared" si="19"/>
        <v>20250218</v>
      </c>
      <c r="B219" s="25">
        <v>45671</v>
      </c>
      <c r="C219" s="2" t="s">
        <v>486</v>
      </c>
      <c r="D219" s="2" t="s">
        <v>28</v>
      </c>
      <c r="E219" s="20" t="s">
        <v>702</v>
      </c>
      <c r="F219" s="20" t="s">
        <v>225</v>
      </c>
      <c r="G219" s="2" t="s">
        <v>43</v>
      </c>
      <c r="H219" s="3">
        <v>97</v>
      </c>
      <c r="I219" s="4">
        <v>16.149999999999999</v>
      </c>
      <c r="J219" s="5">
        <f t="shared" si="15"/>
        <v>1566.55</v>
      </c>
      <c r="K219" s="6">
        <v>0.15</v>
      </c>
      <c r="L219" s="5">
        <f t="shared" si="16"/>
        <v>0</v>
      </c>
      <c r="M219" s="4">
        <v>3</v>
      </c>
      <c r="N219" s="5">
        <f t="shared" si="17"/>
        <v>0</v>
      </c>
      <c r="O219" s="5">
        <f t="shared" si="18"/>
        <v>0</v>
      </c>
      <c r="P219" s="2" t="s">
        <v>22</v>
      </c>
    </row>
    <row r="220" spans="1:16" x14ac:dyDescent="0.3">
      <c r="A220" s="2">
        <f t="shared" si="19"/>
        <v>20250219</v>
      </c>
      <c r="B220" s="25">
        <v>45671</v>
      </c>
      <c r="C220" s="2" t="s">
        <v>486</v>
      </c>
      <c r="D220" s="2" t="s">
        <v>16</v>
      </c>
      <c r="E220" s="20" t="s">
        <v>703</v>
      </c>
      <c r="F220" s="20" t="s">
        <v>226</v>
      </c>
      <c r="G220" s="2" t="s">
        <v>21</v>
      </c>
      <c r="H220" s="3">
        <v>24</v>
      </c>
      <c r="I220" s="4">
        <v>30.12</v>
      </c>
      <c r="J220" s="5">
        <f t="shared" si="15"/>
        <v>722.88</v>
      </c>
      <c r="K220" s="6">
        <v>0</v>
      </c>
      <c r="L220" s="5">
        <f t="shared" si="16"/>
        <v>722.88</v>
      </c>
      <c r="M220" s="4">
        <v>15</v>
      </c>
      <c r="N220" s="5">
        <f t="shared" si="17"/>
        <v>360</v>
      </c>
      <c r="O220" s="5">
        <f t="shared" si="18"/>
        <v>362.88</v>
      </c>
      <c r="P220" s="2" t="s">
        <v>19</v>
      </c>
    </row>
    <row r="221" spans="1:16" x14ac:dyDescent="0.3">
      <c r="A221" s="2">
        <f t="shared" si="19"/>
        <v>20250220</v>
      </c>
      <c r="B221" s="25">
        <v>45671</v>
      </c>
      <c r="C221" s="2" t="s">
        <v>486</v>
      </c>
      <c r="D221" s="2" t="s">
        <v>28</v>
      </c>
      <c r="E221" s="20" t="s">
        <v>704</v>
      </c>
      <c r="F221" s="20" t="s">
        <v>227</v>
      </c>
      <c r="G221" s="2" t="s">
        <v>27</v>
      </c>
      <c r="H221" s="3">
        <v>41</v>
      </c>
      <c r="I221" s="4">
        <v>47.03</v>
      </c>
      <c r="J221" s="5">
        <f t="shared" si="15"/>
        <v>1928.23</v>
      </c>
      <c r="K221" s="6">
        <v>0.08</v>
      </c>
      <c r="L221" s="5">
        <f t="shared" si="16"/>
        <v>1773.9716000000001</v>
      </c>
      <c r="M221" s="4">
        <v>24</v>
      </c>
      <c r="N221" s="5">
        <f t="shared" si="17"/>
        <v>984</v>
      </c>
      <c r="O221" s="5">
        <f t="shared" si="18"/>
        <v>789.97160000000008</v>
      </c>
      <c r="P221" s="2" t="s">
        <v>19</v>
      </c>
    </row>
    <row r="222" spans="1:16" x14ac:dyDescent="0.3">
      <c r="A222" s="2">
        <f t="shared" si="19"/>
        <v>20250221</v>
      </c>
      <c r="B222" s="25">
        <v>45671</v>
      </c>
      <c r="C222" s="2" t="s">
        <v>486</v>
      </c>
      <c r="D222" s="2" t="s">
        <v>16</v>
      </c>
      <c r="E222" s="20" t="s">
        <v>705</v>
      </c>
      <c r="F222" s="20" t="s">
        <v>228</v>
      </c>
      <c r="G222" s="2" t="s">
        <v>21</v>
      </c>
      <c r="H222" s="3">
        <v>8</v>
      </c>
      <c r="I222" s="4">
        <v>26.68</v>
      </c>
      <c r="J222" s="5">
        <f t="shared" si="15"/>
        <v>213.44</v>
      </c>
      <c r="K222" s="6">
        <v>0</v>
      </c>
      <c r="L222" s="5">
        <f t="shared" si="16"/>
        <v>213.44</v>
      </c>
      <c r="M222" s="4">
        <v>15</v>
      </c>
      <c r="N222" s="5">
        <f t="shared" si="17"/>
        <v>120</v>
      </c>
      <c r="O222" s="5">
        <f t="shared" si="18"/>
        <v>93.44</v>
      </c>
      <c r="P222" s="2" t="s">
        <v>19</v>
      </c>
    </row>
    <row r="223" spans="1:16" x14ac:dyDescent="0.3">
      <c r="A223" s="2">
        <f t="shared" si="19"/>
        <v>20250222</v>
      </c>
      <c r="B223" s="25">
        <v>45671</v>
      </c>
      <c r="C223" s="2" t="s">
        <v>486</v>
      </c>
      <c r="D223" s="2" t="s">
        <v>16</v>
      </c>
      <c r="E223" s="20" t="s">
        <v>706</v>
      </c>
      <c r="F223" s="20" t="s">
        <v>229</v>
      </c>
      <c r="G223" s="2" t="s">
        <v>21</v>
      </c>
      <c r="H223" s="3">
        <v>15</v>
      </c>
      <c r="I223" s="4">
        <v>26.42</v>
      </c>
      <c r="J223" s="5">
        <f t="shared" si="15"/>
        <v>396.3</v>
      </c>
      <c r="K223" s="6">
        <v>0.03</v>
      </c>
      <c r="L223" s="5">
        <f t="shared" si="16"/>
        <v>384.411</v>
      </c>
      <c r="M223" s="4">
        <v>15</v>
      </c>
      <c r="N223" s="5">
        <f t="shared" si="17"/>
        <v>225</v>
      </c>
      <c r="O223" s="5">
        <f t="shared" si="18"/>
        <v>159.411</v>
      </c>
      <c r="P223" s="2" t="s">
        <v>19</v>
      </c>
    </row>
    <row r="224" spans="1:16" x14ac:dyDescent="0.3">
      <c r="A224" s="2">
        <f t="shared" si="19"/>
        <v>20250223</v>
      </c>
      <c r="B224" s="25">
        <v>45671</v>
      </c>
      <c r="C224" s="2" t="s">
        <v>486</v>
      </c>
      <c r="D224" s="2" t="s">
        <v>28</v>
      </c>
      <c r="E224" s="20" t="s">
        <v>707</v>
      </c>
      <c r="F224" s="20" t="s">
        <v>230</v>
      </c>
      <c r="G224" s="2" t="s">
        <v>32</v>
      </c>
      <c r="H224" s="3">
        <v>8</v>
      </c>
      <c r="I224" s="4">
        <v>16.41</v>
      </c>
      <c r="J224" s="5">
        <f t="shared" si="15"/>
        <v>131.28</v>
      </c>
      <c r="K224" s="6">
        <v>0.08</v>
      </c>
      <c r="L224" s="5">
        <f t="shared" si="16"/>
        <v>120.77760000000001</v>
      </c>
      <c r="M224" s="4">
        <v>9.5</v>
      </c>
      <c r="N224" s="5">
        <f t="shared" si="17"/>
        <v>76</v>
      </c>
      <c r="O224" s="5">
        <f t="shared" si="18"/>
        <v>44.777600000000007</v>
      </c>
      <c r="P224" s="2" t="s">
        <v>19</v>
      </c>
    </row>
    <row r="225" spans="1:16" x14ac:dyDescent="0.3">
      <c r="A225" s="2">
        <f t="shared" si="19"/>
        <v>20250224</v>
      </c>
      <c r="B225" s="25">
        <v>45671</v>
      </c>
      <c r="C225" s="2" t="s">
        <v>486</v>
      </c>
      <c r="D225" s="2" t="s">
        <v>16</v>
      </c>
      <c r="E225" s="20" t="s">
        <v>708</v>
      </c>
      <c r="F225" s="20" t="s">
        <v>952</v>
      </c>
      <c r="G225" s="2" t="s">
        <v>18</v>
      </c>
      <c r="H225" s="3">
        <v>18</v>
      </c>
      <c r="I225" s="4">
        <v>9.64</v>
      </c>
      <c r="J225" s="5">
        <f t="shared" si="15"/>
        <v>173.52</v>
      </c>
      <c r="K225" s="6">
        <v>0.05</v>
      </c>
      <c r="L225" s="5">
        <f t="shared" si="16"/>
        <v>164.84399999999999</v>
      </c>
      <c r="M225" s="4">
        <v>1</v>
      </c>
      <c r="N225" s="5">
        <f t="shared" si="17"/>
        <v>18</v>
      </c>
      <c r="O225" s="5">
        <f t="shared" si="18"/>
        <v>146.84399999999999</v>
      </c>
      <c r="P225" s="2" t="s">
        <v>19</v>
      </c>
    </row>
    <row r="226" spans="1:16" x14ac:dyDescent="0.3">
      <c r="A226" s="2">
        <f t="shared" si="19"/>
        <v>20250225</v>
      </c>
      <c r="B226" s="25">
        <v>45671</v>
      </c>
      <c r="C226" s="2" t="s">
        <v>486</v>
      </c>
      <c r="D226" s="2" t="s">
        <v>28</v>
      </c>
      <c r="E226" s="20" t="s">
        <v>953</v>
      </c>
      <c r="F226" s="20" t="s">
        <v>231</v>
      </c>
      <c r="G226" s="2" t="s">
        <v>43</v>
      </c>
      <c r="H226" s="3">
        <v>58</v>
      </c>
      <c r="I226" s="4">
        <v>15.57</v>
      </c>
      <c r="J226" s="5">
        <f t="shared" si="15"/>
        <v>903.06000000000006</v>
      </c>
      <c r="K226" s="6">
        <v>0.15</v>
      </c>
      <c r="L226" s="5">
        <f t="shared" si="16"/>
        <v>767.601</v>
      </c>
      <c r="M226" s="4">
        <v>3</v>
      </c>
      <c r="N226" s="5">
        <f t="shared" si="17"/>
        <v>174</v>
      </c>
      <c r="O226" s="5">
        <f t="shared" si="18"/>
        <v>593.601</v>
      </c>
      <c r="P226" s="2" t="s">
        <v>19</v>
      </c>
    </row>
    <row r="227" spans="1:16" x14ac:dyDescent="0.3">
      <c r="A227" s="2">
        <f t="shared" si="19"/>
        <v>20250226</v>
      </c>
      <c r="B227" s="25">
        <v>45671</v>
      </c>
      <c r="C227" s="2" t="s">
        <v>486</v>
      </c>
      <c r="D227" s="2" t="s">
        <v>16</v>
      </c>
      <c r="E227" s="20" t="s">
        <v>709</v>
      </c>
      <c r="F227" s="20" t="s">
        <v>232</v>
      </c>
      <c r="G227" s="2" t="s">
        <v>18</v>
      </c>
      <c r="H227" s="3">
        <v>18</v>
      </c>
      <c r="I227" s="4">
        <v>8.68</v>
      </c>
      <c r="J227" s="5">
        <f t="shared" si="15"/>
        <v>156.24</v>
      </c>
      <c r="K227" s="6">
        <v>0.03</v>
      </c>
      <c r="L227" s="5">
        <f t="shared" si="16"/>
        <v>151.55279999999999</v>
      </c>
      <c r="M227" s="4">
        <v>1</v>
      </c>
      <c r="N227" s="5">
        <f t="shared" si="17"/>
        <v>18</v>
      </c>
      <c r="O227" s="5">
        <f t="shared" si="18"/>
        <v>133.55279999999999</v>
      </c>
      <c r="P227" s="2" t="s">
        <v>19</v>
      </c>
    </row>
    <row r="228" spans="1:16" x14ac:dyDescent="0.3">
      <c r="A228" s="2">
        <f t="shared" si="19"/>
        <v>20250227</v>
      </c>
      <c r="B228" s="25">
        <v>45671</v>
      </c>
      <c r="C228" s="2" t="s">
        <v>486</v>
      </c>
      <c r="D228" s="2" t="s">
        <v>24</v>
      </c>
      <c r="E228" s="20" t="s">
        <v>710</v>
      </c>
      <c r="F228" s="20" t="s">
        <v>233</v>
      </c>
      <c r="G228" s="2" t="s">
        <v>32</v>
      </c>
      <c r="H228" s="3">
        <v>21</v>
      </c>
      <c r="I228" s="4">
        <v>21.03</v>
      </c>
      <c r="J228" s="5">
        <f t="shared" si="15"/>
        <v>441.63</v>
      </c>
      <c r="K228" s="6">
        <v>7.0000000000000007E-2</v>
      </c>
      <c r="L228" s="5">
        <f t="shared" si="16"/>
        <v>410.71589999999998</v>
      </c>
      <c r="M228" s="4">
        <v>9.5</v>
      </c>
      <c r="N228" s="5">
        <f t="shared" si="17"/>
        <v>199.5</v>
      </c>
      <c r="O228" s="5">
        <f t="shared" si="18"/>
        <v>211.21589999999998</v>
      </c>
      <c r="P228" s="2" t="s">
        <v>19</v>
      </c>
    </row>
    <row r="229" spans="1:16" x14ac:dyDescent="0.3">
      <c r="A229" s="2">
        <f t="shared" si="19"/>
        <v>20250228</v>
      </c>
      <c r="B229" s="25">
        <v>45671</v>
      </c>
      <c r="C229" s="2" t="s">
        <v>486</v>
      </c>
      <c r="D229" s="2" t="s">
        <v>16</v>
      </c>
      <c r="E229" s="20" t="s">
        <v>711</v>
      </c>
      <c r="F229" s="20" t="s">
        <v>234</v>
      </c>
      <c r="G229" s="2" t="s">
        <v>32</v>
      </c>
      <c r="H229" s="3">
        <v>22</v>
      </c>
      <c r="I229" s="4">
        <v>16.89</v>
      </c>
      <c r="J229" s="5">
        <f t="shared" si="15"/>
        <v>371.58000000000004</v>
      </c>
      <c r="K229" s="6">
        <v>0</v>
      </c>
      <c r="L229" s="5">
        <f t="shared" si="16"/>
        <v>371.58000000000004</v>
      </c>
      <c r="M229" s="4">
        <v>9.5</v>
      </c>
      <c r="N229" s="5">
        <f t="shared" si="17"/>
        <v>209</v>
      </c>
      <c r="O229" s="5">
        <f t="shared" si="18"/>
        <v>162.58000000000004</v>
      </c>
      <c r="P229" s="2" t="s">
        <v>19</v>
      </c>
    </row>
    <row r="230" spans="1:16" x14ac:dyDescent="0.3">
      <c r="A230" s="2">
        <f t="shared" si="19"/>
        <v>20250229</v>
      </c>
      <c r="B230" s="25">
        <v>45671</v>
      </c>
      <c r="C230" s="2" t="s">
        <v>486</v>
      </c>
      <c r="D230" s="2" t="s">
        <v>28</v>
      </c>
      <c r="E230" s="20" t="s">
        <v>712</v>
      </c>
      <c r="F230" s="20" t="s">
        <v>235</v>
      </c>
      <c r="G230" s="2" t="s">
        <v>27</v>
      </c>
      <c r="H230" s="3">
        <v>7</v>
      </c>
      <c r="I230" s="4">
        <v>45.4</v>
      </c>
      <c r="J230" s="5">
        <f t="shared" si="15"/>
        <v>317.8</v>
      </c>
      <c r="K230" s="6">
        <v>0.1</v>
      </c>
      <c r="L230" s="5">
        <f t="shared" si="16"/>
        <v>286.02000000000004</v>
      </c>
      <c r="M230" s="4">
        <v>24</v>
      </c>
      <c r="N230" s="5">
        <f t="shared" si="17"/>
        <v>168</v>
      </c>
      <c r="O230" s="5">
        <f t="shared" si="18"/>
        <v>118.02000000000004</v>
      </c>
      <c r="P230" s="2" t="s">
        <v>19</v>
      </c>
    </row>
    <row r="231" spans="1:16" x14ac:dyDescent="0.3">
      <c r="A231" s="2">
        <f t="shared" si="19"/>
        <v>20250230</v>
      </c>
      <c r="B231" s="25">
        <v>45671</v>
      </c>
      <c r="C231" s="2" t="s">
        <v>486</v>
      </c>
      <c r="D231" s="2" t="s">
        <v>16</v>
      </c>
      <c r="E231" s="20" t="s">
        <v>713</v>
      </c>
      <c r="F231" s="20" t="s">
        <v>236</v>
      </c>
      <c r="G231" s="2" t="s">
        <v>32</v>
      </c>
      <c r="H231" s="3">
        <v>8</v>
      </c>
      <c r="I231" s="4">
        <v>23.28</v>
      </c>
      <c r="J231" s="5">
        <f t="shared" si="15"/>
        <v>186.24</v>
      </c>
      <c r="K231" s="6">
        <v>0.03</v>
      </c>
      <c r="L231" s="5">
        <f t="shared" si="16"/>
        <v>180.65280000000001</v>
      </c>
      <c r="M231" s="4">
        <v>9.5</v>
      </c>
      <c r="N231" s="5">
        <f t="shared" si="17"/>
        <v>76</v>
      </c>
      <c r="O231" s="5">
        <f t="shared" si="18"/>
        <v>104.65280000000001</v>
      </c>
      <c r="P231" s="2" t="s">
        <v>19</v>
      </c>
    </row>
    <row r="232" spans="1:16" x14ac:dyDescent="0.3">
      <c r="A232" s="2">
        <f t="shared" si="19"/>
        <v>20250231</v>
      </c>
      <c r="B232" s="25">
        <v>45672</v>
      </c>
      <c r="C232" s="2" t="s">
        <v>486</v>
      </c>
      <c r="D232" s="2" t="s">
        <v>24</v>
      </c>
      <c r="E232" s="20" t="s">
        <v>714</v>
      </c>
      <c r="F232" s="20" t="s">
        <v>237</v>
      </c>
      <c r="G232" s="2" t="s">
        <v>18</v>
      </c>
      <c r="H232" s="3">
        <v>18</v>
      </c>
      <c r="I232" s="4">
        <v>10.78</v>
      </c>
      <c r="J232" s="5">
        <f t="shared" si="15"/>
        <v>194.04</v>
      </c>
      <c r="K232" s="6">
        <v>0.05</v>
      </c>
      <c r="L232" s="5">
        <f t="shared" si="16"/>
        <v>184.33799999999999</v>
      </c>
      <c r="M232" s="4">
        <v>1</v>
      </c>
      <c r="N232" s="5">
        <f t="shared" si="17"/>
        <v>18</v>
      </c>
      <c r="O232" s="5">
        <f t="shared" si="18"/>
        <v>166.33799999999999</v>
      </c>
      <c r="P232" s="2" t="s">
        <v>19</v>
      </c>
    </row>
    <row r="233" spans="1:16" x14ac:dyDescent="0.3">
      <c r="A233" s="2">
        <f t="shared" si="19"/>
        <v>20250232</v>
      </c>
      <c r="B233" s="25">
        <v>45672</v>
      </c>
      <c r="C233" s="2" t="s">
        <v>486</v>
      </c>
      <c r="D233" s="2" t="s">
        <v>16</v>
      </c>
      <c r="E233" s="20" t="s">
        <v>715</v>
      </c>
      <c r="F233" s="20" t="s">
        <v>238</v>
      </c>
      <c r="G233" s="2" t="s">
        <v>43</v>
      </c>
      <c r="H233" s="3">
        <v>7</v>
      </c>
      <c r="I233" s="4">
        <v>14.87</v>
      </c>
      <c r="J233" s="5">
        <f t="shared" si="15"/>
        <v>104.08999999999999</v>
      </c>
      <c r="K233" s="6">
        <v>7.0000000000000007E-2</v>
      </c>
      <c r="L233" s="5">
        <f t="shared" si="16"/>
        <v>96.803699999999978</v>
      </c>
      <c r="M233" s="4">
        <v>3</v>
      </c>
      <c r="N233" s="5">
        <f t="shared" si="17"/>
        <v>21</v>
      </c>
      <c r="O233" s="5">
        <f t="shared" si="18"/>
        <v>75.803699999999978</v>
      </c>
      <c r="P233" s="2" t="s">
        <v>19</v>
      </c>
    </row>
    <row r="234" spans="1:16" x14ac:dyDescent="0.3">
      <c r="A234" s="2">
        <f t="shared" si="19"/>
        <v>20250233</v>
      </c>
      <c r="B234" s="25">
        <v>45672</v>
      </c>
      <c r="C234" s="2" t="s">
        <v>486</v>
      </c>
      <c r="D234" s="2" t="s">
        <v>16</v>
      </c>
      <c r="E234" s="20" t="s">
        <v>716</v>
      </c>
      <c r="F234" s="20" t="s">
        <v>239</v>
      </c>
      <c r="G234" s="2" t="s">
        <v>32</v>
      </c>
      <c r="H234" s="3">
        <v>10</v>
      </c>
      <c r="I234" s="4">
        <v>18.690000000000001</v>
      </c>
      <c r="J234" s="5">
        <f t="shared" si="15"/>
        <v>186.9</v>
      </c>
      <c r="K234" s="6">
        <v>0.05</v>
      </c>
      <c r="L234" s="5">
        <f t="shared" si="16"/>
        <v>0</v>
      </c>
      <c r="M234" s="4">
        <v>9.5</v>
      </c>
      <c r="N234" s="5">
        <f t="shared" si="17"/>
        <v>0</v>
      </c>
      <c r="O234" s="5">
        <f t="shared" si="18"/>
        <v>0</v>
      </c>
      <c r="P234" s="2" t="s">
        <v>22</v>
      </c>
    </row>
    <row r="235" spans="1:16" x14ac:dyDescent="0.3">
      <c r="A235" s="2">
        <f t="shared" si="19"/>
        <v>20250234</v>
      </c>
      <c r="B235" s="25">
        <v>45672</v>
      </c>
      <c r="C235" s="2" t="s">
        <v>486</v>
      </c>
      <c r="D235" s="2" t="s">
        <v>28</v>
      </c>
      <c r="E235" s="20" t="s">
        <v>632</v>
      </c>
      <c r="F235" s="20" t="s">
        <v>240</v>
      </c>
      <c r="G235" s="2" t="s">
        <v>32</v>
      </c>
      <c r="H235" s="3">
        <v>107</v>
      </c>
      <c r="I235" s="4">
        <v>16.86</v>
      </c>
      <c r="J235" s="5">
        <f t="shared" si="15"/>
        <v>1804.02</v>
      </c>
      <c r="K235" s="6">
        <v>0.12</v>
      </c>
      <c r="L235" s="5">
        <f t="shared" si="16"/>
        <v>1587.5375999999999</v>
      </c>
      <c r="M235" s="4">
        <v>9.5</v>
      </c>
      <c r="N235" s="5">
        <f t="shared" si="17"/>
        <v>1016.5</v>
      </c>
      <c r="O235" s="5">
        <f t="shared" si="18"/>
        <v>571.03759999999988</v>
      </c>
      <c r="P235" s="2" t="s">
        <v>19</v>
      </c>
    </row>
    <row r="236" spans="1:16" x14ac:dyDescent="0.3">
      <c r="A236" s="2">
        <f t="shared" si="19"/>
        <v>20250235</v>
      </c>
      <c r="B236" s="25">
        <v>45672</v>
      </c>
      <c r="C236" s="2" t="s">
        <v>486</v>
      </c>
      <c r="D236" s="2" t="s">
        <v>16</v>
      </c>
      <c r="E236" s="20" t="s">
        <v>717</v>
      </c>
      <c r="F236" s="20" t="s">
        <v>241</v>
      </c>
      <c r="G236" s="2" t="s">
        <v>18</v>
      </c>
      <c r="H236" s="3">
        <v>6</v>
      </c>
      <c r="I236" s="4">
        <v>9.49</v>
      </c>
      <c r="J236" s="5">
        <f t="shared" si="15"/>
        <v>56.94</v>
      </c>
      <c r="K236" s="6">
        <v>0</v>
      </c>
      <c r="L236" s="5">
        <f t="shared" si="16"/>
        <v>56.94</v>
      </c>
      <c r="M236" s="4">
        <v>1</v>
      </c>
      <c r="N236" s="5">
        <f t="shared" si="17"/>
        <v>6</v>
      </c>
      <c r="O236" s="5">
        <f t="shared" si="18"/>
        <v>50.94</v>
      </c>
      <c r="P236" s="2" t="s">
        <v>19</v>
      </c>
    </row>
    <row r="237" spans="1:16" x14ac:dyDescent="0.3">
      <c r="A237" s="2">
        <f t="shared" si="19"/>
        <v>20250236</v>
      </c>
      <c r="B237" s="25">
        <v>45672</v>
      </c>
      <c r="C237" s="2" t="s">
        <v>486</v>
      </c>
      <c r="D237" s="2" t="s">
        <v>16</v>
      </c>
      <c r="E237" s="20" t="s">
        <v>718</v>
      </c>
      <c r="F237" s="20" t="s">
        <v>242</v>
      </c>
      <c r="G237" s="2" t="s">
        <v>21</v>
      </c>
      <c r="H237" s="3">
        <v>5</v>
      </c>
      <c r="I237" s="4">
        <v>27.96</v>
      </c>
      <c r="J237" s="5">
        <f t="shared" si="15"/>
        <v>139.80000000000001</v>
      </c>
      <c r="K237" s="6">
        <v>0.03</v>
      </c>
      <c r="L237" s="5">
        <f t="shared" si="16"/>
        <v>135.60599999999999</v>
      </c>
      <c r="M237" s="4">
        <v>15</v>
      </c>
      <c r="N237" s="5">
        <f t="shared" si="17"/>
        <v>75</v>
      </c>
      <c r="O237" s="5">
        <f t="shared" si="18"/>
        <v>60.605999999999995</v>
      </c>
      <c r="P237" s="2" t="s">
        <v>19</v>
      </c>
    </row>
    <row r="238" spans="1:16" x14ac:dyDescent="0.3">
      <c r="A238" s="2">
        <f t="shared" si="19"/>
        <v>20250237</v>
      </c>
      <c r="B238" s="25">
        <v>45672</v>
      </c>
      <c r="C238" s="2" t="s">
        <v>486</v>
      </c>
      <c r="D238" s="2" t="s">
        <v>28</v>
      </c>
      <c r="E238" s="20" t="s">
        <v>719</v>
      </c>
      <c r="F238" s="20" t="s">
        <v>243</v>
      </c>
      <c r="G238" s="2" t="s">
        <v>32</v>
      </c>
      <c r="H238" s="3">
        <v>2</v>
      </c>
      <c r="I238" s="4">
        <v>19.190000000000001</v>
      </c>
      <c r="J238" s="5">
        <f t="shared" si="15"/>
        <v>38.380000000000003</v>
      </c>
      <c r="K238" s="6">
        <v>0.15</v>
      </c>
      <c r="L238" s="5">
        <f t="shared" si="16"/>
        <v>32.623000000000005</v>
      </c>
      <c r="M238" s="4">
        <v>9.5</v>
      </c>
      <c r="N238" s="5">
        <f t="shared" si="17"/>
        <v>19</v>
      </c>
      <c r="O238" s="5">
        <f t="shared" si="18"/>
        <v>13.623000000000005</v>
      </c>
      <c r="P238" s="2" t="s">
        <v>19</v>
      </c>
    </row>
    <row r="239" spans="1:16" x14ac:dyDescent="0.3">
      <c r="A239" s="2">
        <f t="shared" ref="A239:A259" si="20">A238+1</f>
        <v>20250238</v>
      </c>
      <c r="B239" s="25">
        <v>45672</v>
      </c>
      <c r="C239" s="2" t="s">
        <v>486</v>
      </c>
      <c r="D239" s="2" t="s">
        <v>28</v>
      </c>
      <c r="E239" s="20" t="s">
        <v>720</v>
      </c>
      <c r="F239" s="20" t="s">
        <v>244</v>
      </c>
      <c r="G239" s="2" t="s">
        <v>21</v>
      </c>
      <c r="H239" s="3">
        <v>1</v>
      </c>
      <c r="I239" s="4">
        <v>28.13</v>
      </c>
      <c r="J239" s="5">
        <f t="shared" si="15"/>
        <v>28.13</v>
      </c>
      <c r="K239" s="6">
        <v>0.1</v>
      </c>
      <c r="L239" s="5">
        <f t="shared" si="16"/>
        <v>25.317</v>
      </c>
      <c r="M239" s="4">
        <v>15</v>
      </c>
      <c r="N239" s="5">
        <f t="shared" si="17"/>
        <v>15</v>
      </c>
      <c r="O239" s="5">
        <f t="shared" si="18"/>
        <v>10.317</v>
      </c>
      <c r="P239" s="2" t="s">
        <v>19</v>
      </c>
    </row>
    <row r="240" spans="1:16" x14ac:dyDescent="0.3">
      <c r="A240" s="2">
        <f t="shared" si="20"/>
        <v>20250239</v>
      </c>
      <c r="B240" s="25">
        <v>45672</v>
      </c>
      <c r="C240" s="2" t="s">
        <v>486</v>
      </c>
      <c r="D240" s="2" t="s">
        <v>28</v>
      </c>
      <c r="E240" s="20" t="s">
        <v>721</v>
      </c>
      <c r="F240" s="20" t="s">
        <v>245</v>
      </c>
      <c r="G240" s="2" t="s">
        <v>27</v>
      </c>
      <c r="H240" s="3">
        <v>22</v>
      </c>
      <c r="I240" s="4">
        <v>51.1</v>
      </c>
      <c r="J240" s="5">
        <f t="shared" si="15"/>
        <v>1124.2</v>
      </c>
      <c r="K240" s="6">
        <v>0.08</v>
      </c>
      <c r="L240" s="5">
        <f t="shared" si="16"/>
        <v>0</v>
      </c>
      <c r="M240" s="4">
        <v>24</v>
      </c>
      <c r="N240" s="5">
        <f t="shared" si="17"/>
        <v>0</v>
      </c>
      <c r="O240" s="5">
        <f t="shared" si="18"/>
        <v>0</v>
      </c>
      <c r="P240" s="2" t="s">
        <v>22</v>
      </c>
    </row>
    <row r="241" spans="1:16" x14ac:dyDescent="0.3">
      <c r="A241" s="2">
        <f t="shared" si="20"/>
        <v>20250240</v>
      </c>
      <c r="B241" s="25">
        <v>45672</v>
      </c>
      <c r="C241" s="2" t="s">
        <v>486</v>
      </c>
      <c r="D241" s="2" t="s">
        <v>24</v>
      </c>
      <c r="E241" s="20" t="s">
        <v>722</v>
      </c>
      <c r="F241" s="20" t="s">
        <v>246</v>
      </c>
      <c r="G241" s="2" t="s">
        <v>18</v>
      </c>
      <c r="H241" s="3">
        <v>12</v>
      </c>
      <c r="I241" s="4">
        <v>9.8800000000000008</v>
      </c>
      <c r="J241" s="5">
        <f t="shared" si="15"/>
        <v>118.56</v>
      </c>
      <c r="K241" s="6">
        <v>0.03</v>
      </c>
      <c r="L241" s="5">
        <f t="shared" si="16"/>
        <v>115.00319999999999</v>
      </c>
      <c r="M241" s="4">
        <v>1</v>
      </c>
      <c r="N241" s="5">
        <f t="shared" si="17"/>
        <v>12</v>
      </c>
      <c r="O241" s="5">
        <f t="shared" si="18"/>
        <v>103.00319999999999</v>
      </c>
      <c r="P241" s="2" t="s">
        <v>19</v>
      </c>
    </row>
    <row r="242" spans="1:16" x14ac:dyDescent="0.3">
      <c r="A242" s="2">
        <f t="shared" si="20"/>
        <v>20250241</v>
      </c>
      <c r="B242" s="25">
        <v>45672</v>
      </c>
      <c r="C242" s="2" t="s">
        <v>486</v>
      </c>
      <c r="D242" s="2" t="s">
        <v>24</v>
      </c>
      <c r="E242" s="20" t="s">
        <v>723</v>
      </c>
      <c r="F242" s="20" t="s">
        <v>247</v>
      </c>
      <c r="G242" s="2" t="s">
        <v>32</v>
      </c>
      <c r="H242" s="3">
        <v>3</v>
      </c>
      <c r="I242" s="4">
        <v>20.239999999999998</v>
      </c>
      <c r="J242" s="5">
        <f t="shared" si="15"/>
        <v>60.72</v>
      </c>
      <c r="K242" s="6">
        <v>0.03</v>
      </c>
      <c r="L242" s="5">
        <f t="shared" si="16"/>
        <v>58.898399999999995</v>
      </c>
      <c r="M242" s="4">
        <v>9.5</v>
      </c>
      <c r="N242" s="5">
        <f t="shared" si="17"/>
        <v>28.5</v>
      </c>
      <c r="O242" s="5">
        <f t="shared" si="18"/>
        <v>30.398399999999995</v>
      </c>
      <c r="P242" s="2" t="s">
        <v>19</v>
      </c>
    </row>
    <row r="243" spans="1:16" x14ac:dyDescent="0.3">
      <c r="A243" s="2">
        <f t="shared" si="20"/>
        <v>20250242</v>
      </c>
      <c r="B243" s="25">
        <v>45672</v>
      </c>
      <c r="C243" s="2" t="s">
        <v>486</v>
      </c>
      <c r="D243" s="2" t="s">
        <v>16</v>
      </c>
      <c r="E243" s="20" t="s">
        <v>724</v>
      </c>
      <c r="F243" s="20" t="s">
        <v>248</v>
      </c>
      <c r="G243" s="2" t="s">
        <v>21</v>
      </c>
      <c r="H243" s="3">
        <v>14</v>
      </c>
      <c r="I243" s="4">
        <v>30.22</v>
      </c>
      <c r="J243" s="5">
        <f t="shared" si="15"/>
        <v>423.08</v>
      </c>
      <c r="K243" s="6">
        <v>0.05</v>
      </c>
      <c r="L243" s="5">
        <f t="shared" si="16"/>
        <v>401.92599999999999</v>
      </c>
      <c r="M243" s="4">
        <v>15</v>
      </c>
      <c r="N243" s="5">
        <f t="shared" si="17"/>
        <v>210</v>
      </c>
      <c r="O243" s="5">
        <f t="shared" si="18"/>
        <v>191.92599999999999</v>
      </c>
      <c r="P243" s="2" t="s">
        <v>19</v>
      </c>
    </row>
    <row r="244" spans="1:16" x14ac:dyDescent="0.3">
      <c r="A244" s="2">
        <f t="shared" si="20"/>
        <v>20250243</v>
      </c>
      <c r="B244" s="25">
        <v>45672</v>
      </c>
      <c r="C244" s="2" t="s">
        <v>486</v>
      </c>
      <c r="D244" s="2" t="s">
        <v>16</v>
      </c>
      <c r="E244" s="20" t="s">
        <v>725</v>
      </c>
      <c r="F244" s="20" t="s">
        <v>249</v>
      </c>
      <c r="G244" s="2" t="s">
        <v>27</v>
      </c>
      <c r="H244" s="3">
        <v>23</v>
      </c>
      <c r="I244" s="4">
        <v>58.02</v>
      </c>
      <c r="J244" s="5">
        <f t="shared" si="15"/>
        <v>1334.46</v>
      </c>
      <c r="K244" s="6">
        <v>0.03</v>
      </c>
      <c r="L244" s="5">
        <f t="shared" si="16"/>
        <v>1294.4262000000001</v>
      </c>
      <c r="M244" s="4">
        <v>24</v>
      </c>
      <c r="N244" s="5">
        <f t="shared" si="17"/>
        <v>552</v>
      </c>
      <c r="O244" s="5">
        <f t="shared" si="18"/>
        <v>742.42620000000011</v>
      </c>
      <c r="P244" s="2" t="s">
        <v>19</v>
      </c>
    </row>
    <row r="245" spans="1:16" x14ac:dyDescent="0.3">
      <c r="A245" s="2">
        <f t="shared" si="20"/>
        <v>20250244</v>
      </c>
      <c r="B245" s="25">
        <v>45672</v>
      </c>
      <c r="C245" s="2" t="s">
        <v>486</v>
      </c>
      <c r="D245" s="2" t="s">
        <v>28</v>
      </c>
      <c r="E245" s="20" t="s">
        <v>726</v>
      </c>
      <c r="F245" s="20" t="s">
        <v>250</v>
      </c>
      <c r="G245" s="2" t="s">
        <v>18</v>
      </c>
      <c r="H245" s="3">
        <v>11</v>
      </c>
      <c r="I245" s="4">
        <v>8.0399999999999991</v>
      </c>
      <c r="J245" s="5">
        <f t="shared" si="15"/>
        <v>88.44</v>
      </c>
      <c r="K245" s="6">
        <v>0.08</v>
      </c>
      <c r="L245" s="5">
        <f t="shared" si="16"/>
        <v>81.364800000000002</v>
      </c>
      <c r="M245" s="4">
        <v>1</v>
      </c>
      <c r="N245" s="5">
        <f t="shared" si="17"/>
        <v>11</v>
      </c>
      <c r="O245" s="5">
        <f t="shared" si="18"/>
        <v>70.364800000000002</v>
      </c>
      <c r="P245" s="2" t="s">
        <v>19</v>
      </c>
    </row>
    <row r="246" spans="1:16" x14ac:dyDescent="0.3">
      <c r="A246" s="2">
        <f t="shared" si="20"/>
        <v>20250245</v>
      </c>
      <c r="B246" s="25">
        <v>45672</v>
      </c>
      <c r="C246" s="2" t="s">
        <v>486</v>
      </c>
      <c r="D246" s="2" t="s">
        <v>16</v>
      </c>
      <c r="E246" s="20" t="s">
        <v>727</v>
      </c>
      <c r="F246" s="20" t="s">
        <v>954</v>
      </c>
      <c r="G246" s="2" t="s">
        <v>43</v>
      </c>
      <c r="H246" s="3">
        <v>19</v>
      </c>
      <c r="I246" s="4">
        <v>13.73</v>
      </c>
      <c r="J246" s="5">
        <f t="shared" si="15"/>
        <v>260.87</v>
      </c>
      <c r="K246" s="6">
        <v>0.03</v>
      </c>
      <c r="L246" s="5">
        <f t="shared" si="16"/>
        <v>253.04390000000001</v>
      </c>
      <c r="M246" s="4">
        <v>3</v>
      </c>
      <c r="N246" s="5">
        <f t="shared" si="17"/>
        <v>57</v>
      </c>
      <c r="O246" s="5">
        <f t="shared" si="18"/>
        <v>196.04390000000001</v>
      </c>
      <c r="P246" s="2" t="s">
        <v>19</v>
      </c>
    </row>
    <row r="247" spans="1:16" x14ac:dyDescent="0.3">
      <c r="A247" s="2">
        <f t="shared" si="20"/>
        <v>20250246</v>
      </c>
      <c r="B247" s="25">
        <v>45672</v>
      </c>
      <c r="C247" s="2" t="s">
        <v>486</v>
      </c>
      <c r="D247" s="2" t="s">
        <v>16</v>
      </c>
      <c r="E247" s="20" t="s">
        <v>728</v>
      </c>
      <c r="F247" s="20" t="s">
        <v>251</v>
      </c>
      <c r="G247" s="2" t="s">
        <v>32</v>
      </c>
      <c r="H247" s="3">
        <v>4</v>
      </c>
      <c r="I247" s="4">
        <v>18.13</v>
      </c>
      <c r="J247" s="5">
        <f t="shared" ref="J247:J302" si="21">H247*I247</f>
        <v>72.52</v>
      </c>
      <c r="K247" s="6">
        <v>0</v>
      </c>
      <c r="L247" s="5">
        <f t="shared" ref="L247:L302" si="22">IF(P247="Returned",0,J247*(1-K247))</f>
        <v>72.52</v>
      </c>
      <c r="M247" s="4">
        <v>9.5</v>
      </c>
      <c r="N247" s="5">
        <f t="shared" ref="N247:N302" si="23">IF(P247="Returned",0,H247*M247)</f>
        <v>38</v>
      </c>
      <c r="O247" s="5">
        <f t="shared" ref="O247:O302" si="24">L247-N247</f>
        <v>34.519999999999996</v>
      </c>
      <c r="P247" s="2" t="s">
        <v>19</v>
      </c>
    </row>
    <row r="248" spans="1:16" x14ac:dyDescent="0.3">
      <c r="A248" s="2">
        <f t="shared" si="20"/>
        <v>20250247</v>
      </c>
      <c r="B248" s="25">
        <v>45672</v>
      </c>
      <c r="C248" s="2" t="s">
        <v>486</v>
      </c>
      <c r="D248" s="2" t="s">
        <v>28</v>
      </c>
      <c r="E248" s="20" t="s">
        <v>729</v>
      </c>
      <c r="F248" s="20" t="s">
        <v>252</v>
      </c>
      <c r="G248" s="2" t="s">
        <v>27</v>
      </c>
      <c r="H248" s="3">
        <v>91</v>
      </c>
      <c r="I248" s="4">
        <v>40.119999999999997</v>
      </c>
      <c r="J248" s="5">
        <f t="shared" si="21"/>
        <v>3650.9199999999996</v>
      </c>
      <c r="K248" s="6">
        <v>0.12</v>
      </c>
      <c r="L248" s="5">
        <f t="shared" si="22"/>
        <v>3212.8095999999996</v>
      </c>
      <c r="M248" s="4">
        <v>24</v>
      </c>
      <c r="N248" s="5">
        <f t="shared" si="23"/>
        <v>2184</v>
      </c>
      <c r="O248" s="5">
        <f t="shared" si="24"/>
        <v>1028.8095999999996</v>
      </c>
      <c r="P248" s="2" t="s">
        <v>19</v>
      </c>
    </row>
    <row r="249" spans="1:16" x14ac:dyDescent="0.3">
      <c r="A249" s="2">
        <f t="shared" si="20"/>
        <v>20250248</v>
      </c>
      <c r="B249" s="25">
        <v>45673</v>
      </c>
      <c r="C249" s="2" t="s">
        <v>486</v>
      </c>
      <c r="D249" s="2" t="s">
        <v>28</v>
      </c>
      <c r="E249" s="20" t="s">
        <v>730</v>
      </c>
      <c r="F249" s="20" t="s">
        <v>955</v>
      </c>
      <c r="G249" s="2" t="s">
        <v>43</v>
      </c>
      <c r="H249" s="3">
        <v>20</v>
      </c>
      <c r="I249" s="4">
        <v>14.69</v>
      </c>
      <c r="J249" s="5">
        <f t="shared" si="21"/>
        <v>293.8</v>
      </c>
      <c r="K249" s="6">
        <v>0.1</v>
      </c>
      <c r="L249" s="5">
        <f t="shared" si="22"/>
        <v>0</v>
      </c>
      <c r="M249" s="4">
        <v>3</v>
      </c>
      <c r="N249" s="5">
        <f t="shared" si="23"/>
        <v>0</v>
      </c>
      <c r="O249" s="5">
        <f t="shared" si="24"/>
        <v>0</v>
      </c>
      <c r="P249" s="2" t="s">
        <v>22</v>
      </c>
    </row>
    <row r="250" spans="1:16" x14ac:dyDescent="0.3">
      <c r="A250" s="2">
        <f t="shared" si="20"/>
        <v>20250249</v>
      </c>
      <c r="B250" s="25">
        <v>45673</v>
      </c>
      <c r="C250" s="2" t="s">
        <v>486</v>
      </c>
      <c r="D250" s="2" t="s">
        <v>16</v>
      </c>
      <c r="E250" s="20" t="s">
        <v>731</v>
      </c>
      <c r="F250" s="20" t="s">
        <v>253</v>
      </c>
      <c r="G250" s="2" t="s">
        <v>18</v>
      </c>
      <c r="H250" s="3">
        <v>24</v>
      </c>
      <c r="I250" s="4">
        <v>9.35</v>
      </c>
      <c r="J250" s="5">
        <f t="shared" si="21"/>
        <v>224.39999999999998</v>
      </c>
      <c r="K250" s="6">
        <v>0.02</v>
      </c>
      <c r="L250" s="5">
        <f t="shared" si="22"/>
        <v>219.91199999999998</v>
      </c>
      <c r="M250" s="4">
        <v>1</v>
      </c>
      <c r="N250" s="5">
        <f t="shared" si="23"/>
        <v>24</v>
      </c>
      <c r="O250" s="5">
        <f t="shared" si="24"/>
        <v>195.91199999999998</v>
      </c>
      <c r="P250" s="2" t="s">
        <v>19</v>
      </c>
    </row>
    <row r="251" spans="1:16" x14ac:dyDescent="0.3">
      <c r="A251" s="2">
        <f t="shared" si="20"/>
        <v>20250250</v>
      </c>
      <c r="B251" s="25">
        <v>45673</v>
      </c>
      <c r="C251" s="2" t="s">
        <v>486</v>
      </c>
      <c r="D251" s="2" t="s">
        <v>24</v>
      </c>
      <c r="E251" s="20" t="s">
        <v>732</v>
      </c>
      <c r="F251" s="20" t="s">
        <v>254</v>
      </c>
      <c r="G251" s="2" t="s">
        <v>43</v>
      </c>
      <c r="H251" s="3">
        <v>5</v>
      </c>
      <c r="I251" s="4">
        <v>13.18</v>
      </c>
      <c r="J251" s="5">
        <f t="shared" si="21"/>
        <v>65.900000000000006</v>
      </c>
      <c r="K251" s="6">
        <v>0.03</v>
      </c>
      <c r="L251" s="5">
        <f t="shared" si="22"/>
        <v>63.923000000000002</v>
      </c>
      <c r="M251" s="4">
        <v>3</v>
      </c>
      <c r="N251" s="5">
        <f t="shared" si="23"/>
        <v>15</v>
      </c>
      <c r="O251" s="5">
        <f t="shared" si="24"/>
        <v>48.923000000000002</v>
      </c>
      <c r="P251" s="2" t="s">
        <v>19</v>
      </c>
    </row>
    <row r="252" spans="1:16" x14ac:dyDescent="0.3">
      <c r="A252" s="2">
        <f t="shared" si="20"/>
        <v>20250251</v>
      </c>
      <c r="B252" s="25">
        <v>45673</v>
      </c>
      <c r="C252" s="2" t="s">
        <v>486</v>
      </c>
      <c r="D252" s="2" t="s">
        <v>16</v>
      </c>
      <c r="E252" s="20" t="s">
        <v>733</v>
      </c>
      <c r="F252" s="20" t="s">
        <v>956</v>
      </c>
      <c r="G252" s="2" t="s">
        <v>43</v>
      </c>
      <c r="H252" s="3">
        <v>12</v>
      </c>
      <c r="I252" s="4">
        <v>16.739999999999998</v>
      </c>
      <c r="J252" s="5">
        <f t="shared" si="21"/>
        <v>200.88</v>
      </c>
      <c r="K252" s="6">
        <v>0.02</v>
      </c>
      <c r="L252" s="5">
        <f t="shared" si="22"/>
        <v>196.86239999999998</v>
      </c>
      <c r="M252" s="4">
        <v>3</v>
      </c>
      <c r="N252" s="5">
        <f t="shared" si="23"/>
        <v>36</v>
      </c>
      <c r="O252" s="5">
        <f t="shared" si="24"/>
        <v>160.86239999999998</v>
      </c>
      <c r="P252" s="2" t="s">
        <v>19</v>
      </c>
    </row>
    <row r="253" spans="1:16" x14ac:dyDescent="0.3">
      <c r="A253" s="2">
        <f t="shared" si="20"/>
        <v>20250252</v>
      </c>
      <c r="B253" s="25">
        <v>45673</v>
      </c>
      <c r="C253" s="2" t="s">
        <v>486</v>
      </c>
      <c r="D253" s="2" t="s">
        <v>16</v>
      </c>
      <c r="E253" s="20" t="s">
        <v>734</v>
      </c>
      <c r="F253" s="20" t="s">
        <v>255</v>
      </c>
      <c r="G253" s="2" t="s">
        <v>43</v>
      </c>
      <c r="H253" s="3">
        <v>22</v>
      </c>
      <c r="I253" s="4">
        <v>14.86</v>
      </c>
      <c r="J253" s="5">
        <f t="shared" si="21"/>
        <v>326.91999999999996</v>
      </c>
      <c r="K253" s="6">
        <v>0</v>
      </c>
      <c r="L253" s="5">
        <f t="shared" si="22"/>
        <v>326.91999999999996</v>
      </c>
      <c r="M253" s="4">
        <v>3</v>
      </c>
      <c r="N253" s="5">
        <f t="shared" si="23"/>
        <v>66</v>
      </c>
      <c r="O253" s="5">
        <f t="shared" si="24"/>
        <v>260.91999999999996</v>
      </c>
      <c r="P253" s="2" t="s">
        <v>19</v>
      </c>
    </row>
    <row r="254" spans="1:16" x14ac:dyDescent="0.3">
      <c r="A254" s="2">
        <f t="shared" si="20"/>
        <v>20250253</v>
      </c>
      <c r="B254" s="25">
        <v>45673</v>
      </c>
      <c r="C254" s="2" t="s">
        <v>486</v>
      </c>
      <c r="D254" s="2" t="s">
        <v>16</v>
      </c>
      <c r="E254" s="20" t="s">
        <v>735</v>
      </c>
      <c r="F254" s="20" t="s">
        <v>256</v>
      </c>
      <c r="G254" s="2" t="s">
        <v>32</v>
      </c>
      <c r="H254" s="3">
        <v>9</v>
      </c>
      <c r="I254" s="4">
        <v>20.45</v>
      </c>
      <c r="J254" s="5">
        <f t="shared" si="21"/>
        <v>184.04999999999998</v>
      </c>
      <c r="K254" s="6">
        <v>7.0000000000000007E-2</v>
      </c>
      <c r="L254" s="5">
        <f t="shared" si="22"/>
        <v>171.16649999999998</v>
      </c>
      <c r="M254" s="4">
        <v>9.5</v>
      </c>
      <c r="N254" s="5">
        <f t="shared" si="23"/>
        <v>85.5</v>
      </c>
      <c r="O254" s="5">
        <f t="shared" si="24"/>
        <v>85.666499999999985</v>
      </c>
      <c r="P254" s="2" t="s">
        <v>19</v>
      </c>
    </row>
    <row r="255" spans="1:16" x14ac:dyDescent="0.3">
      <c r="A255" s="2">
        <f t="shared" si="20"/>
        <v>20250254</v>
      </c>
      <c r="B255" s="25">
        <v>45673</v>
      </c>
      <c r="C255" s="2" t="s">
        <v>486</v>
      </c>
      <c r="D255" s="2" t="s">
        <v>28</v>
      </c>
      <c r="E255" s="20" t="s">
        <v>957</v>
      </c>
      <c r="F255" s="20" t="s">
        <v>257</v>
      </c>
      <c r="G255" s="2" t="s">
        <v>43</v>
      </c>
      <c r="H255" s="3">
        <v>4</v>
      </c>
      <c r="I255" s="4">
        <v>14.92</v>
      </c>
      <c r="J255" s="5">
        <f t="shared" si="21"/>
        <v>59.68</v>
      </c>
      <c r="K255" s="6">
        <v>0.05</v>
      </c>
      <c r="L255" s="5">
        <f t="shared" si="22"/>
        <v>56.695999999999998</v>
      </c>
      <c r="M255" s="4">
        <v>3</v>
      </c>
      <c r="N255" s="5">
        <f t="shared" si="23"/>
        <v>12</v>
      </c>
      <c r="O255" s="5">
        <f t="shared" si="24"/>
        <v>44.695999999999998</v>
      </c>
      <c r="P255" s="2" t="s">
        <v>19</v>
      </c>
    </row>
    <row r="256" spans="1:16" x14ac:dyDescent="0.3">
      <c r="A256" s="2">
        <f t="shared" si="20"/>
        <v>20250255</v>
      </c>
      <c r="B256" s="25">
        <v>45673</v>
      </c>
      <c r="C256" s="2" t="s">
        <v>486</v>
      </c>
      <c r="D256" s="2" t="s">
        <v>24</v>
      </c>
      <c r="E256" s="20" t="s">
        <v>736</v>
      </c>
      <c r="F256" s="20" t="s">
        <v>258</v>
      </c>
      <c r="G256" s="2" t="s">
        <v>43</v>
      </c>
      <c r="H256" s="3">
        <v>14</v>
      </c>
      <c r="I256" s="4">
        <v>15.58</v>
      </c>
      <c r="J256" s="5">
        <f t="shared" si="21"/>
        <v>218.12</v>
      </c>
      <c r="K256" s="6">
        <v>0.03</v>
      </c>
      <c r="L256" s="5">
        <f t="shared" si="22"/>
        <v>211.57640000000001</v>
      </c>
      <c r="M256" s="4">
        <v>3</v>
      </c>
      <c r="N256" s="5">
        <f t="shared" si="23"/>
        <v>42</v>
      </c>
      <c r="O256" s="5">
        <f t="shared" si="24"/>
        <v>169.57640000000001</v>
      </c>
      <c r="P256" s="2" t="s">
        <v>19</v>
      </c>
    </row>
    <row r="257" spans="1:16" x14ac:dyDescent="0.3">
      <c r="A257" s="2">
        <f t="shared" si="20"/>
        <v>20250256</v>
      </c>
      <c r="B257" s="25">
        <v>45673</v>
      </c>
      <c r="C257" s="2" t="s">
        <v>486</v>
      </c>
      <c r="D257" s="2" t="s">
        <v>28</v>
      </c>
      <c r="E257" s="20" t="s">
        <v>737</v>
      </c>
      <c r="F257" s="20" t="s">
        <v>259</v>
      </c>
      <c r="G257" s="2" t="s">
        <v>32</v>
      </c>
      <c r="H257" s="3">
        <v>60</v>
      </c>
      <c r="I257" s="4">
        <v>16.84</v>
      </c>
      <c r="J257" s="5">
        <f t="shared" si="21"/>
        <v>1010.4</v>
      </c>
      <c r="K257" s="6">
        <v>0.1</v>
      </c>
      <c r="L257" s="5">
        <f t="shared" si="22"/>
        <v>909.36</v>
      </c>
      <c r="M257" s="4">
        <v>9.5</v>
      </c>
      <c r="N257" s="5">
        <f t="shared" si="23"/>
        <v>570</v>
      </c>
      <c r="O257" s="5">
        <f t="shared" si="24"/>
        <v>339.36</v>
      </c>
      <c r="P257" s="2" t="s">
        <v>19</v>
      </c>
    </row>
    <row r="258" spans="1:16" x14ac:dyDescent="0.3">
      <c r="A258" s="2">
        <f t="shared" si="20"/>
        <v>20250257</v>
      </c>
      <c r="B258" s="25">
        <v>45673</v>
      </c>
      <c r="C258" s="2" t="s">
        <v>486</v>
      </c>
      <c r="D258" s="2" t="s">
        <v>24</v>
      </c>
      <c r="E258" s="20" t="s">
        <v>738</v>
      </c>
      <c r="F258" s="20" t="s">
        <v>260</v>
      </c>
      <c r="G258" s="2" t="s">
        <v>32</v>
      </c>
      <c r="H258" s="3">
        <v>13</v>
      </c>
      <c r="I258" s="4">
        <v>22.38</v>
      </c>
      <c r="J258" s="5">
        <f t="shared" si="21"/>
        <v>290.94</v>
      </c>
      <c r="K258" s="6">
        <v>0.03</v>
      </c>
      <c r="L258" s="5">
        <f t="shared" si="22"/>
        <v>282.21179999999998</v>
      </c>
      <c r="M258" s="4">
        <v>9.5</v>
      </c>
      <c r="N258" s="5">
        <f t="shared" si="23"/>
        <v>123.5</v>
      </c>
      <c r="O258" s="5">
        <f t="shared" si="24"/>
        <v>158.71179999999998</v>
      </c>
      <c r="P258" s="2" t="s">
        <v>19</v>
      </c>
    </row>
    <row r="259" spans="1:16" x14ac:dyDescent="0.3">
      <c r="A259" s="2">
        <f t="shared" si="20"/>
        <v>20250258</v>
      </c>
      <c r="B259" s="25">
        <v>45673</v>
      </c>
      <c r="C259" s="2" t="s">
        <v>486</v>
      </c>
      <c r="D259" s="2" t="s">
        <v>16</v>
      </c>
      <c r="E259" s="20" t="s">
        <v>739</v>
      </c>
      <c r="F259" s="20" t="s">
        <v>261</v>
      </c>
      <c r="G259" s="2" t="s">
        <v>27</v>
      </c>
      <c r="H259" s="3">
        <v>15</v>
      </c>
      <c r="I259" s="4">
        <v>53.32</v>
      </c>
      <c r="J259" s="5">
        <f t="shared" si="21"/>
        <v>799.8</v>
      </c>
      <c r="K259" s="6">
        <v>0</v>
      </c>
      <c r="L259" s="5">
        <f t="shared" si="22"/>
        <v>799.8</v>
      </c>
      <c r="M259" s="4">
        <v>24</v>
      </c>
      <c r="N259" s="5">
        <f t="shared" si="23"/>
        <v>360</v>
      </c>
      <c r="O259" s="5">
        <f t="shared" si="24"/>
        <v>439.79999999999995</v>
      </c>
      <c r="P259" s="2" t="s">
        <v>19</v>
      </c>
    </row>
    <row r="260" spans="1:16" x14ac:dyDescent="0.3">
      <c r="A260" s="2">
        <f t="shared" ref="A260:A323" si="25">A259+1</f>
        <v>20250259</v>
      </c>
      <c r="B260" s="25">
        <v>45673</v>
      </c>
      <c r="C260" s="2" t="s">
        <v>486</v>
      </c>
      <c r="D260" s="2" t="s">
        <v>16</v>
      </c>
      <c r="E260" s="20" t="s">
        <v>740</v>
      </c>
      <c r="F260" s="20" t="s">
        <v>262</v>
      </c>
      <c r="G260" s="2" t="s">
        <v>18</v>
      </c>
      <c r="H260" s="3">
        <v>23</v>
      </c>
      <c r="I260" s="4">
        <v>8.98</v>
      </c>
      <c r="J260" s="5">
        <f t="shared" si="21"/>
        <v>206.54000000000002</v>
      </c>
      <c r="K260" s="6">
        <v>0.03</v>
      </c>
      <c r="L260" s="5">
        <f t="shared" si="22"/>
        <v>200.34380000000002</v>
      </c>
      <c r="M260" s="4">
        <v>1</v>
      </c>
      <c r="N260" s="5">
        <f t="shared" si="23"/>
        <v>23</v>
      </c>
      <c r="O260" s="5">
        <f t="shared" si="24"/>
        <v>177.34380000000002</v>
      </c>
      <c r="P260" s="2" t="s">
        <v>19</v>
      </c>
    </row>
    <row r="261" spans="1:16" x14ac:dyDescent="0.3">
      <c r="A261" s="2">
        <f t="shared" si="25"/>
        <v>20250260</v>
      </c>
      <c r="B261" s="25">
        <v>45673</v>
      </c>
      <c r="C261" s="2" t="s">
        <v>486</v>
      </c>
      <c r="D261" s="2" t="s">
        <v>28</v>
      </c>
      <c r="E261" s="20" t="s">
        <v>741</v>
      </c>
      <c r="F261" s="20" t="s">
        <v>263</v>
      </c>
      <c r="G261" s="2" t="s">
        <v>43</v>
      </c>
      <c r="H261" s="3">
        <v>18</v>
      </c>
      <c r="I261" s="4">
        <v>13.83</v>
      </c>
      <c r="J261" s="5">
        <f t="shared" si="21"/>
        <v>248.94</v>
      </c>
      <c r="K261" s="6">
        <v>0.1</v>
      </c>
      <c r="L261" s="5">
        <f t="shared" si="22"/>
        <v>224.04599999999999</v>
      </c>
      <c r="M261" s="4">
        <v>3</v>
      </c>
      <c r="N261" s="5">
        <f t="shared" si="23"/>
        <v>54</v>
      </c>
      <c r="O261" s="5">
        <f t="shared" si="24"/>
        <v>170.04599999999999</v>
      </c>
      <c r="P261" s="2" t="s">
        <v>19</v>
      </c>
    </row>
    <row r="262" spans="1:16" x14ac:dyDescent="0.3">
      <c r="A262" s="2">
        <f t="shared" si="25"/>
        <v>20250261</v>
      </c>
      <c r="B262" s="25">
        <v>45673</v>
      </c>
      <c r="C262" s="2" t="s">
        <v>486</v>
      </c>
      <c r="D262" s="2" t="s">
        <v>16</v>
      </c>
      <c r="E262" s="20" t="s">
        <v>560</v>
      </c>
      <c r="F262" s="20" t="s">
        <v>264</v>
      </c>
      <c r="G262" s="2" t="s">
        <v>21</v>
      </c>
      <c r="H262" s="3">
        <v>11</v>
      </c>
      <c r="I262" s="4">
        <v>30.54</v>
      </c>
      <c r="J262" s="5">
        <f t="shared" si="21"/>
        <v>335.94</v>
      </c>
      <c r="K262" s="6">
        <v>0.03</v>
      </c>
      <c r="L262" s="5">
        <f t="shared" si="22"/>
        <v>325.86180000000002</v>
      </c>
      <c r="M262" s="4">
        <v>15</v>
      </c>
      <c r="N262" s="5">
        <f t="shared" si="23"/>
        <v>165</v>
      </c>
      <c r="O262" s="5">
        <f t="shared" si="24"/>
        <v>160.86180000000002</v>
      </c>
      <c r="P262" s="2" t="s">
        <v>19</v>
      </c>
    </row>
    <row r="263" spans="1:16" x14ac:dyDescent="0.3">
      <c r="A263" s="2">
        <f t="shared" si="25"/>
        <v>20250262</v>
      </c>
      <c r="B263" s="25">
        <v>45673</v>
      </c>
      <c r="C263" s="2" t="s">
        <v>486</v>
      </c>
      <c r="D263" s="2" t="s">
        <v>28</v>
      </c>
      <c r="E263" s="20" t="s">
        <v>742</v>
      </c>
      <c r="F263" s="20" t="s">
        <v>265</v>
      </c>
      <c r="G263" s="2" t="s">
        <v>21</v>
      </c>
      <c r="H263" s="3">
        <v>18</v>
      </c>
      <c r="I263" s="4">
        <v>25.6</v>
      </c>
      <c r="J263" s="5">
        <f t="shared" si="21"/>
        <v>460.8</v>
      </c>
      <c r="K263" s="6">
        <v>0.05</v>
      </c>
      <c r="L263" s="5">
        <f t="shared" si="22"/>
        <v>437.76</v>
      </c>
      <c r="M263" s="4">
        <v>15</v>
      </c>
      <c r="N263" s="5">
        <f t="shared" si="23"/>
        <v>270</v>
      </c>
      <c r="O263" s="5">
        <f t="shared" si="24"/>
        <v>167.76</v>
      </c>
      <c r="P263" s="2" t="s">
        <v>19</v>
      </c>
    </row>
    <row r="264" spans="1:16" x14ac:dyDescent="0.3">
      <c r="A264" s="2">
        <f t="shared" si="25"/>
        <v>20250263</v>
      </c>
      <c r="B264" s="25">
        <v>45673</v>
      </c>
      <c r="C264" s="2" t="s">
        <v>486</v>
      </c>
      <c r="D264" s="2" t="s">
        <v>16</v>
      </c>
      <c r="E264" s="20" t="s">
        <v>743</v>
      </c>
      <c r="F264" s="20" t="s">
        <v>266</v>
      </c>
      <c r="G264" s="2" t="s">
        <v>21</v>
      </c>
      <c r="H264" s="3">
        <v>18</v>
      </c>
      <c r="I264" s="4">
        <v>33.299999999999997</v>
      </c>
      <c r="J264" s="5">
        <f t="shared" si="21"/>
        <v>599.4</v>
      </c>
      <c r="K264" s="6">
        <v>0.03</v>
      </c>
      <c r="L264" s="5">
        <f t="shared" si="22"/>
        <v>581.41800000000001</v>
      </c>
      <c r="M264" s="4">
        <v>15</v>
      </c>
      <c r="N264" s="5">
        <f t="shared" si="23"/>
        <v>270</v>
      </c>
      <c r="O264" s="5">
        <f t="shared" si="24"/>
        <v>311.41800000000001</v>
      </c>
      <c r="P264" s="2" t="s">
        <v>19</v>
      </c>
    </row>
    <row r="265" spans="1:16" x14ac:dyDescent="0.3">
      <c r="A265" s="2">
        <f t="shared" si="25"/>
        <v>20250264</v>
      </c>
      <c r="B265" s="25">
        <v>45674</v>
      </c>
      <c r="C265" s="2" t="s">
        <v>486</v>
      </c>
      <c r="D265" s="2" t="s">
        <v>16</v>
      </c>
      <c r="E265" s="20" t="s">
        <v>504</v>
      </c>
      <c r="F265" s="20" t="s">
        <v>267</v>
      </c>
      <c r="G265" s="2" t="s">
        <v>32</v>
      </c>
      <c r="H265" s="3">
        <v>1</v>
      </c>
      <c r="I265" s="4">
        <v>18.690000000000001</v>
      </c>
      <c r="J265" s="5">
        <f t="shared" si="21"/>
        <v>18.690000000000001</v>
      </c>
      <c r="K265" s="6">
        <v>0.03</v>
      </c>
      <c r="L265" s="5">
        <f t="shared" si="22"/>
        <v>18.129300000000001</v>
      </c>
      <c r="M265" s="4">
        <v>9.5</v>
      </c>
      <c r="N265" s="5">
        <f t="shared" si="23"/>
        <v>9.5</v>
      </c>
      <c r="O265" s="5">
        <f t="shared" si="24"/>
        <v>8.6293000000000006</v>
      </c>
      <c r="P265" s="2" t="s">
        <v>19</v>
      </c>
    </row>
    <row r="266" spans="1:16" x14ac:dyDescent="0.3">
      <c r="A266" s="2">
        <f t="shared" si="25"/>
        <v>20250265</v>
      </c>
      <c r="B266" s="25">
        <v>45674</v>
      </c>
      <c r="C266" s="2" t="s">
        <v>486</v>
      </c>
      <c r="D266" s="2" t="s">
        <v>16</v>
      </c>
      <c r="E266" s="20" t="s">
        <v>959</v>
      </c>
      <c r="F266" s="20" t="s">
        <v>268</v>
      </c>
      <c r="G266" s="2" t="s">
        <v>21</v>
      </c>
      <c r="H266" s="3">
        <v>25</v>
      </c>
      <c r="I266" s="4">
        <v>31.5</v>
      </c>
      <c r="J266" s="5">
        <f t="shared" si="21"/>
        <v>787.5</v>
      </c>
      <c r="K266" s="6">
        <v>0</v>
      </c>
      <c r="L266" s="5">
        <f t="shared" si="22"/>
        <v>787.5</v>
      </c>
      <c r="M266" s="4">
        <v>15</v>
      </c>
      <c r="N266" s="5">
        <f t="shared" si="23"/>
        <v>375</v>
      </c>
      <c r="O266" s="5">
        <f t="shared" si="24"/>
        <v>412.5</v>
      </c>
      <c r="P266" s="2" t="s">
        <v>19</v>
      </c>
    </row>
    <row r="267" spans="1:16" x14ac:dyDescent="0.3">
      <c r="A267" s="2">
        <f t="shared" si="25"/>
        <v>20250266</v>
      </c>
      <c r="B267" s="25">
        <v>45674</v>
      </c>
      <c r="C267" s="2" t="s">
        <v>486</v>
      </c>
      <c r="D267" s="2" t="s">
        <v>16</v>
      </c>
      <c r="E267" s="20" t="s">
        <v>744</v>
      </c>
      <c r="F267" s="20" t="s">
        <v>269</v>
      </c>
      <c r="G267" s="2" t="s">
        <v>27</v>
      </c>
      <c r="H267" s="3">
        <v>7</v>
      </c>
      <c r="I267" s="4">
        <v>38.86</v>
      </c>
      <c r="J267" s="5">
        <f t="shared" si="21"/>
        <v>272.02</v>
      </c>
      <c r="K267" s="6">
        <v>0.05</v>
      </c>
      <c r="L267" s="5">
        <f t="shared" si="22"/>
        <v>258.41899999999998</v>
      </c>
      <c r="M267" s="4">
        <v>24</v>
      </c>
      <c r="N267" s="5">
        <f t="shared" si="23"/>
        <v>168</v>
      </c>
      <c r="O267" s="5">
        <f t="shared" si="24"/>
        <v>90.418999999999983</v>
      </c>
      <c r="P267" s="2" t="s">
        <v>19</v>
      </c>
    </row>
    <row r="268" spans="1:16" x14ac:dyDescent="0.3">
      <c r="A268" s="2">
        <f t="shared" si="25"/>
        <v>20250267</v>
      </c>
      <c r="B268" s="25">
        <v>45674</v>
      </c>
      <c r="C268" s="2" t="s">
        <v>486</v>
      </c>
      <c r="D268" s="2" t="s">
        <v>28</v>
      </c>
      <c r="E268" s="20" t="s">
        <v>745</v>
      </c>
      <c r="F268" s="20" t="s">
        <v>270</v>
      </c>
      <c r="G268" s="2" t="s">
        <v>18</v>
      </c>
      <c r="H268" s="3">
        <v>19</v>
      </c>
      <c r="I268" s="4">
        <v>8.5</v>
      </c>
      <c r="J268" s="5">
        <f t="shared" si="21"/>
        <v>161.5</v>
      </c>
      <c r="K268" s="6">
        <v>0.1</v>
      </c>
      <c r="L268" s="5">
        <f t="shared" si="22"/>
        <v>145.35</v>
      </c>
      <c r="M268" s="4">
        <v>1</v>
      </c>
      <c r="N268" s="5">
        <f t="shared" si="23"/>
        <v>19</v>
      </c>
      <c r="O268" s="5">
        <f t="shared" si="24"/>
        <v>126.35</v>
      </c>
      <c r="P268" s="2" t="s">
        <v>19</v>
      </c>
    </row>
    <row r="269" spans="1:16" x14ac:dyDescent="0.3">
      <c r="A269" s="2">
        <f t="shared" si="25"/>
        <v>20250268</v>
      </c>
      <c r="B269" s="25">
        <v>45674</v>
      </c>
      <c r="C269" s="2" t="s">
        <v>486</v>
      </c>
      <c r="D269" s="2" t="s">
        <v>28</v>
      </c>
      <c r="E269" s="20" t="s">
        <v>746</v>
      </c>
      <c r="F269" s="20" t="s">
        <v>271</v>
      </c>
      <c r="G269" s="2" t="s">
        <v>18</v>
      </c>
      <c r="H269" s="3">
        <v>11</v>
      </c>
      <c r="I269" s="4">
        <v>9.1999999999999993</v>
      </c>
      <c r="J269" s="5">
        <f t="shared" si="21"/>
        <v>101.19999999999999</v>
      </c>
      <c r="K269" s="6">
        <v>0.1</v>
      </c>
      <c r="L269" s="5">
        <f t="shared" si="22"/>
        <v>91.08</v>
      </c>
      <c r="M269" s="4">
        <v>1</v>
      </c>
      <c r="N269" s="5">
        <f t="shared" si="23"/>
        <v>11</v>
      </c>
      <c r="O269" s="5">
        <f t="shared" si="24"/>
        <v>80.08</v>
      </c>
      <c r="P269" s="2" t="s">
        <v>19</v>
      </c>
    </row>
    <row r="270" spans="1:16" x14ac:dyDescent="0.3">
      <c r="A270" s="2">
        <f t="shared" si="25"/>
        <v>20250269</v>
      </c>
      <c r="B270" s="25">
        <v>45674</v>
      </c>
      <c r="C270" s="2" t="s">
        <v>486</v>
      </c>
      <c r="D270" s="2" t="s">
        <v>28</v>
      </c>
      <c r="E270" s="20" t="s">
        <v>747</v>
      </c>
      <c r="F270" s="20" t="s">
        <v>272</v>
      </c>
      <c r="G270" s="2" t="s">
        <v>32</v>
      </c>
      <c r="H270" s="3">
        <v>20</v>
      </c>
      <c r="I270" s="4">
        <v>16.95</v>
      </c>
      <c r="J270" s="5">
        <f t="shared" si="21"/>
        <v>339</v>
      </c>
      <c r="K270" s="6">
        <v>0.12</v>
      </c>
      <c r="L270" s="5">
        <f t="shared" si="22"/>
        <v>298.32</v>
      </c>
      <c r="M270" s="4">
        <v>9.5</v>
      </c>
      <c r="N270" s="5">
        <f t="shared" si="23"/>
        <v>190</v>
      </c>
      <c r="O270" s="5">
        <f t="shared" si="24"/>
        <v>108.32</v>
      </c>
      <c r="P270" s="2" t="s">
        <v>19</v>
      </c>
    </row>
    <row r="271" spans="1:16" x14ac:dyDescent="0.3">
      <c r="A271" s="2">
        <f t="shared" si="25"/>
        <v>20250270</v>
      </c>
      <c r="B271" s="25">
        <v>45674</v>
      </c>
      <c r="C271" s="2" t="s">
        <v>486</v>
      </c>
      <c r="D271" s="2" t="s">
        <v>24</v>
      </c>
      <c r="E271" s="20" t="s">
        <v>748</v>
      </c>
      <c r="F271" s="20" t="s">
        <v>273</v>
      </c>
      <c r="G271" s="2" t="s">
        <v>27</v>
      </c>
      <c r="H271" s="3">
        <v>19</v>
      </c>
      <c r="I271" s="4">
        <v>46.45</v>
      </c>
      <c r="J271" s="5">
        <f t="shared" si="21"/>
        <v>882.55000000000007</v>
      </c>
      <c r="K271" s="6">
        <v>7.0000000000000007E-2</v>
      </c>
      <c r="L271" s="5">
        <f t="shared" si="22"/>
        <v>820.77150000000006</v>
      </c>
      <c r="M271" s="4">
        <v>24</v>
      </c>
      <c r="N271" s="5">
        <f t="shared" si="23"/>
        <v>456</v>
      </c>
      <c r="O271" s="5">
        <f t="shared" si="24"/>
        <v>364.77150000000006</v>
      </c>
      <c r="P271" s="2" t="s">
        <v>19</v>
      </c>
    </row>
    <row r="272" spans="1:16" x14ac:dyDescent="0.3">
      <c r="A272" s="2">
        <f t="shared" si="25"/>
        <v>20250271</v>
      </c>
      <c r="B272" s="25">
        <v>45674</v>
      </c>
      <c r="C272" s="2" t="s">
        <v>486</v>
      </c>
      <c r="D272" s="2" t="s">
        <v>24</v>
      </c>
      <c r="E272" s="20" t="s">
        <v>749</v>
      </c>
      <c r="F272" s="20" t="s">
        <v>274</v>
      </c>
      <c r="G272" s="2" t="s">
        <v>21</v>
      </c>
      <c r="H272" s="3">
        <v>25</v>
      </c>
      <c r="I272" s="4">
        <v>28.52</v>
      </c>
      <c r="J272" s="5">
        <f t="shared" si="21"/>
        <v>713</v>
      </c>
      <c r="K272" s="6">
        <v>0</v>
      </c>
      <c r="L272" s="5">
        <f t="shared" si="22"/>
        <v>713</v>
      </c>
      <c r="M272" s="4">
        <v>15</v>
      </c>
      <c r="N272" s="5">
        <f t="shared" si="23"/>
        <v>375</v>
      </c>
      <c r="O272" s="5">
        <f t="shared" si="24"/>
        <v>338</v>
      </c>
      <c r="P272" s="2" t="s">
        <v>19</v>
      </c>
    </row>
    <row r="273" spans="1:16" x14ac:dyDescent="0.3">
      <c r="A273" s="2">
        <f t="shared" si="25"/>
        <v>20250272</v>
      </c>
      <c r="B273" s="25">
        <v>45674</v>
      </c>
      <c r="C273" s="2" t="s">
        <v>486</v>
      </c>
      <c r="D273" s="2" t="s">
        <v>24</v>
      </c>
      <c r="E273" s="20" t="s">
        <v>750</v>
      </c>
      <c r="F273" s="20" t="s">
        <v>275</v>
      </c>
      <c r="G273" s="2" t="s">
        <v>32</v>
      </c>
      <c r="H273" s="3">
        <v>9</v>
      </c>
      <c r="I273" s="4">
        <v>18.79</v>
      </c>
      <c r="J273" s="5">
        <f t="shared" si="21"/>
        <v>169.10999999999999</v>
      </c>
      <c r="K273" s="6">
        <v>0</v>
      </c>
      <c r="L273" s="5">
        <f t="shared" si="22"/>
        <v>169.10999999999999</v>
      </c>
      <c r="M273" s="4">
        <v>9.5</v>
      </c>
      <c r="N273" s="5">
        <f t="shared" si="23"/>
        <v>85.5</v>
      </c>
      <c r="O273" s="5">
        <f t="shared" si="24"/>
        <v>83.609999999999985</v>
      </c>
      <c r="P273" s="2" t="s">
        <v>19</v>
      </c>
    </row>
    <row r="274" spans="1:16" x14ac:dyDescent="0.3">
      <c r="A274" s="2">
        <f t="shared" si="25"/>
        <v>20250273</v>
      </c>
      <c r="B274" s="25">
        <v>45674</v>
      </c>
      <c r="C274" s="2" t="s">
        <v>486</v>
      </c>
      <c r="D274" s="2" t="s">
        <v>16</v>
      </c>
      <c r="E274" s="20" t="s">
        <v>751</v>
      </c>
      <c r="F274" s="20" t="s">
        <v>276</v>
      </c>
      <c r="G274" s="2" t="s">
        <v>32</v>
      </c>
      <c r="H274" s="3">
        <v>6</v>
      </c>
      <c r="I274" s="4">
        <v>20.58</v>
      </c>
      <c r="J274" s="5">
        <f t="shared" si="21"/>
        <v>123.47999999999999</v>
      </c>
      <c r="K274" s="6">
        <v>0.03</v>
      </c>
      <c r="L274" s="5">
        <f t="shared" si="22"/>
        <v>0</v>
      </c>
      <c r="M274" s="4">
        <v>9.5</v>
      </c>
      <c r="N274" s="5">
        <f t="shared" si="23"/>
        <v>0</v>
      </c>
      <c r="O274" s="5">
        <f t="shared" si="24"/>
        <v>0</v>
      </c>
      <c r="P274" s="2" t="s">
        <v>22</v>
      </c>
    </row>
    <row r="275" spans="1:16" x14ac:dyDescent="0.3">
      <c r="A275" s="2">
        <f t="shared" si="25"/>
        <v>20250274</v>
      </c>
      <c r="B275" s="25">
        <v>45674</v>
      </c>
      <c r="C275" s="2" t="s">
        <v>486</v>
      </c>
      <c r="D275" s="2" t="s">
        <v>28</v>
      </c>
      <c r="E275" s="20" t="s">
        <v>752</v>
      </c>
      <c r="F275" s="20" t="s">
        <v>277</v>
      </c>
      <c r="G275" s="2" t="s">
        <v>18</v>
      </c>
      <c r="H275" s="3">
        <v>11</v>
      </c>
      <c r="I275" s="4">
        <v>9.07</v>
      </c>
      <c r="J275" s="5">
        <f t="shared" si="21"/>
        <v>99.77000000000001</v>
      </c>
      <c r="K275" s="6">
        <v>0.1</v>
      </c>
      <c r="L275" s="5">
        <f t="shared" si="22"/>
        <v>89.793000000000006</v>
      </c>
      <c r="M275" s="4">
        <v>1</v>
      </c>
      <c r="N275" s="5">
        <f t="shared" si="23"/>
        <v>11</v>
      </c>
      <c r="O275" s="5">
        <f t="shared" si="24"/>
        <v>78.793000000000006</v>
      </c>
      <c r="P275" s="2" t="s">
        <v>19</v>
      </c>
    </row>
    <row r="276" spans="1:16" x14ac:dyDescent="0.3">
      <c r="A276" s="2">
        <f t="shared" si="25"/>
        <v>20250275</v>
      </c>
      <c r="B276" s="25">
        <v>45675</v>
      </c>
      <c r="C276" s="2" t="s">
        <v>486</v>
      </c>
      <c r="D276" s="2" t="s">
        <v>16</v>
      </c>
      <c r="E276" s="20" t="s">
        <v>753</v>
      </c>
      <c r="F276" s="20" t="s">
        <v>278</v>
      </c>
      <c r="G276" s="2" t="s">
        <v>27</v>
      </c>
      <c r="H276" s="3">
        <v>2</v>
      </c>
      <c r="I276" s="4">
        <v>52.54</v>
      </c>
      <c r="J276" s="5">
        <f t="shared" si="21"/>
        <v>105.08</v>
      </c>
      <c r="K276" s="6">
        <v>0.03</v>
      </c>
      <c r="L276" s="5">
        <f t="shared" si="22"/>
        <v>0</v>
      </c>
      <c r="M276" s="4">
        <v>24</v>
      </c>
      <c r="N276" s="5">
        <f t="shared" si="23"/>
        <v>0</v>
      </c>
      <c r="O276" s="5">
        <f t="shared" si="24"/>
        <v>0</v>
      </c>
      <c r="P276" s="2" t="s">
        <v>22</v>
      </c>
    </row>
    <row r="277" spans="1:16" x14ac:dyDescent="0.3">
      <c r="A277" s="2">
        <f t="shared" si="25"/>
        <v>20250276</v>
      </c>
      <c r="B277" s="25">
        <v>45675</v>
      </c>
      <c r="C277" s="2" t="s">
        <v>486</v>
      </c>
      <c r="D277" s="2" t="s">
        <v>16</v>
      </c>
      <c r="E277" s="20" t="s">
        <v>754</v>
      </c>
      <c r="F277" s="20" t="s">
        <v>279</v>
      </c>
      <c r="G277" s="2" t="s">
        <v>18</v>
      </c>
      <c r="H277" s="3">
        <v>5</v>
      </c>
      <c r="I277" s="4">
        <v>8.77</v>
      </c>
      <c r="J277" s="5">
        <f t="shared" si="21"/>
        <v>43.849999999999994</v>
      </c>
      <c r="K277" s="6">
        <v>0.05</v>
      </c>
      <c r="L277" s="5">
        <f t="shared" si="22"/>
        <v>41.657499999999992</v>
      </c>
      <c r="M277" s="4">
        <v>1</v>
      </c>
      <c r="N277" s="5">
        <f t="shared" si="23"/>
        <v>5</v>
      </c>
      <c r="O277" s="5">
        <f t="shared" si="24"/>
        <v>36.657499999999992</v>
      </c>
      <c r="P277" s="2" t="s">
        <v>19</v>
      </c>
    </row>
    <row r="278" spans="1:16" x14ac:dyDescent="0.3">
      <c r="A278" s="2">
        <f t="shared" si="25"/>
        <v>20250277</v>
      </c>
      <c r="B278" s="25">
        <v>45675</v>
      </c>
      <c r="C278" s="2" t="s">
        <v>486</v>
      </c>
      <c r="D278" s="2" t="s">
        <v>28</v>
      </c>
      <c r="E278" s="20" t="s">
        <v>755</v>
      </c>
      <c r="F278" s="20" t="s">
        <v>960</v>
      </c>
      <c r="G278" s="2" t="s">
        <v>21</v>
      </c>
      <c r="H278" s="3">
        <v>68</v>
      </c>
      <c r="I278" s="4">
        <v>25.03</v>
      </c>
      <c r="J278" s="5">
        <f t="shared" si="21"/>
        <v>1702.04</v>
      </c>
      <c r="K278" s="6">
        <v>0.1</v>
      </c>
      <c r="L278" s="5">
        <f t="shared" si="22"/>
        <v>1531.836</v>
      </c>
      <c r="M278" s="4">
        <v>15</v>
      </c>
      <c r="N278" s="5">
        <f t="shared" si="23"/>
        <v>1020</v>
      </c>
      <c r="O278" s="5">
        <f t="shared" si="24"/>
        <v>511.83600000000001</v>
      </c>
      <c r="P278" s="2" t="s">
        <v>19</v>
      </c>
    </row>
    <row r="279" spans="1:16" x14ac:dyDescent="0.3">
      <c r="A279" s="2">
        <f t="shared" si="25"/>
        <v>20250278</v>
      </c>
      <c r="B279" s="25">
        <v>45675</v>
      </c>
      <c r="C279" s="2" t="s">
        <v>486</v>
      </c>
      <c r="D279" s="2" t="s">
        <v>28</v>
      </c>
      <c r="E279" s="20" t="s">
        <v>756</v>
      </c>
      <c r="F279" s="20" t="s">
        <v>280</v>
      </c>
      <c r="G279" s="2" t="s">
        <v>21</v>
      </c>
      <c r="H279" s="3">
        <v>111</v>
      </c>
      <c r="I279" s="4">
        <v>22.31</v>
      </c>
      <c r="J279" s="5">
        <f t="shared" si="21"/>
        <v>2476.41</v>
      </c>
      <c r="K279" s="6">
        <v>0.08</v>
      </c>
      <c r="L279" s="5">
        <f t="shared" si="22"/>
        <v>2278.2972</v>
      </c>
      <c r="M279" s="4">
        <v>15</v>
      </c>
      <c r="N279" s="5">
        <f t="shared" si="23"/>
        <v>1665</v>
      </c>
      <c r="O279" s="5">
        <f t="shared" si="24"/>
        <v>613.29719999999998</v>
      </c>
      <c r="P279" s="2" t="s">
        <v>19</v>
      </c>
    </row>
    <row r="280" spans="1:16" x14ac:dyDescent="0.3">
      <c r="A280" s="2">
        <f t="shared" si="25"/>
        <v>20250279</v>
      </c>
      <c r="B280" s="25">
        <v>45675</v>
      </c>
      <c r="C280" s="2" t="s">
        <v>486</v>
      </c>
      <c r="D280" s="2" t="s">
        <v>24</v>
      </c>
      <c r="E280" s="20" t="s">
        <v>757</v>
      </c>
      <c r="F280" s="20" t="s">
        <v>281</v>
      </c>
      <c r="G280" s="2" t="s">
        <v>18</v>
      </c>
      <c r="H280" s="3">
        <v>18</v>
      </c>
      <c r="I280" s="4">
        <v>10.119999999999999</v>
      </c>
      <c r="J280" s="5">
        <f t="shared" si="21"/>
        <v>182.16</v>
      </c>
      <c r="K280" s="6">
        <v>7.0000000000000007E-2</v>
      </c>
      <c r="L280" s="5">
        <f t="shared" si="22"/>
        <v>169.40879999999999</v>
      </c>
      <c r="M280" s="4">
        <v>1</v>
      </c>
      <c r="N280" s="5">
        <f t="shared" si="23"/>
        <v>18</v>
      </c>
      <c r="O280" s="5">
        <f t="shared" si="24"/>
        <v>151.40879999999999</v>
      </c>
      <c r="P280" s="2" t="s">
        <v>19</v>
      </c>
    </row>
    <row r="281" spans="1:16" x14ac:dyDescent="0.3">
      <c r="A281" s="2">
        <f t="shared" si="25"/>
        <v>20250280</v>
      </c>
      <c r="B281" s="25">
        <v>45675</v>
      </c>
      <c r="C281" s="2" t="s">
        <v>486</v>
      </c>
      <c r="D281" s="2" t="s">
        <v>16</v>
      </c>
      <c r="E281" s="20" t="s">
        <v>758</v>
      </c>
      <c r="F281" s="20" t="s">
        <v>282</v>
      </c>
      <c r="G281" s="2" t="s">
        <v>21</v>
      </c>
      <c r="H281" s="3">
        <v>1</v>
      </c>
      <c r="I281" s="4">
        <v>33.26</v>
      </c>
      <c r="J281" s="5">
        <f t="shared" si="21"/>
        <v>33.26</v>
      </c>
      <c r="K281" s="6">
        <v>0.03</v>
      </c>
      <c r="L281" s="5">
        <f t="shared" si="22"/>
        <v>32.2622</v>
      </c>
      <c r="M281" s="4">
        <v>15</v>
      </c>
      <c r="N281" s="5">
        <f t="shared" si="23"/>
        <v>15</v>
      </c>
      <c r="O281" s="5">
        <f t="shared" si="24"/>
        <v>17.2622</v>
      </c>
      <c r="P281" s="2" t="s">
        <v>19</v>
      </c>
    </row>
    <row r="282" spans="1:16" x14ac:dyDescent="0.3">
      <c r="A282" s="2">
        <f t="shared" si="25"/>
        <v>20250281</v>
      </c>
      <c r="B282" s="25">
        <v>45675</v>
      </c>
      <c r="C282" s="2" t="s">
        <v>486</v>
      </c>
      <c r="D282" s="2" t="s">
        <v>16</v>
      </c>
      <c r="E282" s="20" t="s">
        <v>759</v>
      </c>
      <c r="F282" s="20" t="s">
        <v>283</v>
      </c>
      <c r="G282" s="2" t="s">
        <v>32</v>
      </c>
      <c r="H282" s="3">
        <v>9</v>
      </c>
      <c r="I282" s="4">
        <v>17.91</v>
      </c>
      <c r="J282" s="5">
        <f t="shared" si="21"/>
        <v>161.19</v>
      </c>
      <c r="K282" s="6">
        <v>0.02</v>
      </c>
      <c r="L282" s="5">
        <f t="shared" si="22"/>
        <v>157.96619999999999</v>
      </c>
      <c r="M282" s="4">
        <v>9.5</v>
      </c>
      <c r="N282" s="5">
        <f t="shared" si="23"/>
        <v>85.5</v>
      </c>
      <c r="O282" s="5">
        <f t="shared" si="24"/>
        <v>72.466199999999986</v>
      </c>
      <c r="P282" s="2" t="s">
        <v>19</v>
      </c>
    </row>
    <row r="283" spans="1:16" x14ac:dyDescent="0.3">
      <c r="A283" s="2">
        <f t="shared" si="25"/>
        <v>20250282</v>
      </c>
      <c r="B283" s="25">
        <v>45675</v>
      </c>
      <c r="C283" s="2" t="s">
        <v>486</v>
      </c>
      <c r="D283" s="2" t="s">
        <v>16</v>
      </c>
      <c r="E283" s="20" t="s">
        <v>760</v>
      </c>
      <c r="F283" s="20" t="s">
        <v>284</v>
      </c>
      <c r="G283" s="2" t="s">
        <v>32</v>
      </c>
      <c r="H283" s="3">
        <v>24</v>
      </c>
      <c r="I283" s="4">
        <v>17.72</v>
      </c>
      <c r="J283" s="5">
        <f t="shared" si="21"/>
        <v>425.28</v>
      </c>
      <c r="K283" s="6">
        <v>0.03</v>
      </c>
      <c r="L283" s="5">
        <f t="shared" si="22"/>
        <v>412.52159999999998</v>
      </c>
      <c r="M283" s="4">
        <v>9.5</v>
      </c>
      <c r="N283" s="5">
        <f t="shared" si="23"/>
        <v>228</v>
      </c>
      <c r="O283" s="5">
        <f t="shared" si="24"/>
        <v>184.52159999999998</v>
      </c>
      <c r="P283" s="2" t="s">
        <v>19</v>
      </c>
    </row>
    <row r="284" spans="1:16" x14ac:dyDescent="0.3">
      <c r="A284" s="2">
        <f t="shared" si="25"/>
        <v>20250283</v>
      </c>
      <c r="B284" s="25">
        <v>45675</v>
      </c>
      <c r="C284" s="2" t="s">
        <v>486</v>
      </c>
      <c r="D284" s="2" t="s">
        <v>16</v>
      </c>
      <c r="E284" s="20" t="s">
        <v>761</v>
      </c>
      <c r="F284" s="20" t="s">
        <v>961</v>
      </c>
      <c r="G284" s="2" t="s">
        <v>21</v>
      </c>
      <c r="H284" s="3">
        <v>3</v>
      </c>
      <c r="I284" s="4">
        <v>31.63</v>
      </c>
      <c r="J284" s="5">
        <f t="shared" si="21"/>
        <v>94.89</v>
      </c>
      <c r="K284" s="6">
        <v>0.03</v>
      </c>
      <c r="L284" s="5">
        <f t="shared" si="22"/>
        <v>92.043300000000002</v>
      </c>
      <c r="M284" s="4">
        <v>15</v>
      </c>
      <c r="N284" s="5">
        <f t="shared" si="23"/>
        <v>45</v>
      </c>
      <c r="O284" s="5">
        <f t="shared" si="24"/>
        <v>47.043300000000002</v>
      </c>
      <c r="P284" s="2" t="s">
        <v>19</v>
      </c>
    </row>
    <row r="285" spans="1:16" x14ac:dyDescent="0.3">
      <c r="A285" s="2">
        <f t="shared" si="25"/>
        <v>20250284</v>
      </c>
      <c r="B285" s="25">
        <v>45675</v>
      </c>
      <c r="C285" s="2" t="s">
        <v>486</v>
      </c>
      <c r="D285" s="2" t="s">
        <v>24</v>
      </c>
      <c r="E285" s="20" t="s">
        <v>762</v>
      </c>
      <c r="F285" s="20" t="s">
        <v>285</v>
      </c>
      <c r="G285" s="2" t="s">
        <v>21</v>
      </c>
      <c r="H285" s="3">
        <v>23</v>
      </c>
      <c r="I285" s="4">
        <v>31.64</v>
      </c>
      <c r="J285" s="5">
        <f t="shared" si="21"/>
        <v>727.72</v>
      </c>
      <c r="K285" s="6">
        <v>0</v>
      </c>
      <c r="L285" s="5">
        <f t="shared" si="22"/>
        <v>0</v>
      </c>
      <c r="M285" s="4">
        <v>15</v>
      </c>
      <c r="N285" s="5">
        <f t="shared" si="23"/>
        <v>0</v>
      </c>
      <c r="O285" s="5">
        <f t="shared" si="24"/>
        <v>0</v>
      </c>
      <c r="P285" s="2" t="s">
        <v>22</v>
      </c>
    </row>
    <row r="286" spans="1:16" x14ac:dyDescent="0.3">
      <c r="A286" s="2">
        <f t="shared" si="25"/>
        <v>20250285</v>
      </c>
      <c r="B286" s="25">
        <v>45675</v>
      </c>
      <c r="C286" s="2" t="s">
        <v>486</v>
      </c>
      <c r="D286" s="2" t="s">
        <v>16</v>
      </c>
      <c r="E286" s="20" t="s">
        <v>763</v>
      </c>
      <c r="F286" s="20" t="s">
        <v>286</v>
      </c>
      <c r="G286" s="2" t="s">
        <v>21</v>
      </c>
      <c r="H286" s="3">
        <v>10</v>
      </c>
      <c r="I286" s="4">
        <v>26.49</v>
      </c>
      <c r="J286" s="5">
        <f t="shared" si="21"/>
        <v>264.89999999999998</v>
      </c>
      <c r="K286" s="6">
        <v>0.03</v>
      </c>
      <c r="L286" s="5">
        <f t="shared" si="22"/>
        <v>0</v>
      </c>
      <c r="M286" s="4">
        <v>15</v>
      </c>
      <c r="N286" s="5">
        <f t="shared" si="23"/>
        <v>0</v>
      </c>
      <c r="O286" s="5">
        <f t="shared" si="24"/>
        <v>0</v>
      </c>
      <c r="P286" s="2" t="s">
        <v>22</v>
      </c>
    </row>
    <row r="287" spans="1:16" x14ac:dyDescent="0.3">
      <c r="A287" s="2">
        <f t="shared" si="25"/>
        <v>20250286</v>
      </c>
      <c r="B287" s="25">
        <v>45675</v>
      </c>
      <c r="C287" s="2" t="s">
        <v>486</v>
      </c>
      <c r="D287" s="2" t="s">
        <v>28</v>
      </c>
      <c r="E287" s="20" t="s">
        <v>764</v>
      </c>
      <c r="F287" s="20" t="s">
        <v>287</v>
      </c>
      <c r="G287" s="2" t="s">
        <v>21</v>
      </c>
      <c r="H287" s="3">
        <v>12</v>
      </c>
      <c r="I287" s="4">
        <v>26.6</v>
      </c>
      <c r="J287" s="5">
        <f t="shared" si="21"/>
        <v>319.20000000000005</v>
      </c>
      <c r="K287" s="6">
        <v>0.08</v>
      </c>
      <c r="L287" s="5">
        <f t="shared" si="22"/>
        <v>293.66400000000004</v>
      </c>
      <c r="M287" s="4">
        <v>15</v>
      </c>
      <c r="N287" s="5">
        <f t="shared" si="23"/>
        <v>180</v>
      </c>
      <c r="O287" s="5">
        <f t="shared" si="24"/>
        <v>113.66400000000004</v>
      </c>
      <c r="P287" s="2" t="s">
        <v>19</v>
      </c>
    </row>
    <row r="288" spans="1:16" x14ac:dyDescent="0.3">
      <c r="A288" s="2">
        <f t="shared" si="25"/>
        <v>20250287</v>
      </c>
      <c r="B288" s="25">
        <v>45675</v>
      </c>
      <c r="C288" s="2" t="s">
        <v>486</v>
      </c>
      <c r="D288" s="2" t="s">
        <v>16</v>
      </c>
      <c r="E288" s="20" t="s">
        <v>765</v>
      </c>
      <c r="F288" s="20" t="s">
        <v>288</v>
      </c>
      <c r="G288" s="2" t="s">
        <v>32</v>
      </c>
      <c r="H288" s="3">
        <v>25</v>
      </c>
      <c r="I288" s="4">
        <v>20.66</v>
      </c>
      <c r="J288" s="5">
        <f t="shared" si="21"/>
        <v>516.5</v>
      </c>
      <c r="K288" s="6">
        <v>0.03</v>
      </c>
      <c r="L288" s="5">
        <f t="shared" si="22"/>
        <v>501.005</v>
      </c>
      <c r="M288" s="4">
        <v>9.5</v>
      </c>
      <c r="N288" s="5">
        <f t="shared" si="23"/>
        <v>237.5</v>
      </c>
      <c r="O288" s="5">
        <f t="shared" si="24"/>
        <v>263.505</v>
      </c>
      <c r="P288" s="2" t="s">
        <v>19</v>
      </c>
    </row>
    <row r="289" spans="1:16" x14ac:dyDescent="0.3">
      <c r="A289" s="2">
        <f t="shared" si="25"/>
        <v>20250288</v>
      </c>
      <c r="B289" s="25">
        <v>45675</v>
      </c>
      <c r="C289" s="2" t="s">
        <v>486</v>
      </c>
      <c r="D289" s="2" t="s">
        <v>16</v>
      </c>
      <c r="E289" s="20" t="s">
        <v>766</v>
      </c>
      <c r="F289" s="20" t="s">
        <v>289</v>
      </c>
      <c r="G289" s="2" t="s">
        <v>32</v>
      </c>
      <c r="H289" s="3">
        <v>8</v>
      </c>
      <c r="I289" s="4">
        <v>20.85</v>
      </c>
      <c r="J289" s="5">
        <f t="shared" si="21"/>
        <v>166.8</v>
      </c>
      <c r="K289" s="6">
        <v>0.02</v>
      </c>
      <c r="L289" s="5">
        <f t="shared" si="22"/>
        <v>163.464</v>
      </c>
      <c r="M289" s="4">
        <v>9.5</v>
      </c>
      <c r="N289" s="5">
        <f t="shared" si="23"/>
        <v>76</v>
      </c>
      <c r="O289" s="5">
        <f t="shared" si="24"/>
        <v>87.463999999999999</v>
      </c>
      <c r="P289" s="2" t="s">
        <v>19</v>
      </c>
    </row>
    <row r="290" spans="1:16" x14ac:dyDescent="0.3">
      <c r="A290" s="2">
        <f t="shared" si="25"/>
        <v>20250289</v>
      </c>
      <c r="B290" s="25">
        <v>45675</v>
      </c>
      <c r="C290" s="2" t="s">
        <v>486</v>
      </c>
      <c r="D290" s="2" t="s">
        <v>16</v>
      </c>
      <c r="E290" s="20" t="s">
        <v>767</v>
      </c>
      <c r="F290" s="20" t="s">
        <v>290</v>
      </c>
      <c r="G290" s="2" t="s">
        <v>18</v>
      </c>
      <c r="H290" s="3">
        <v>10</v>
      </c>
      <c r="I290" s="4">
        <v>11.02</v>
      </c>
      <c r="J290" s="5">
        <f t="shared" si="21"/>
        <v>110.19999999999999</v>
      </c>
      <c r="K290" s="6">
        <v>0.03</v>
      </c>
      <c r="L290" s="5">
        <f t="shared" si="22"/>
        <v>106.89399999999999</v>
      </c>
      <c r="M290" s="4">
        <v>1</v>
      </c>
      <c r="N290" s="5">
        <f t="shared" si="23"/>
        <v>10</v>
      </c>
      <c r="O290" s="5">
        <f t="shared" si="24"/>
        <v>96.893999999999991</v>
      </c>
      <c r="P290" s="2" t="s">
        <v>19</v>
      </c>
    </row>
    <row r="291" spans="1:16" x14ac:dyDescent="0.3">
      <c r="A291" s="2">
        <f t="shared" si="25"/>
        <v>20250290</v>
      </c>
      <c r="B291" s="25">
        <v>45675</v>
      </c>
      <c r="C291" s="2" t="s">
        <v>486</v>
      </c>
      <c r="D291" s="2" t="s">
        <v>28</v>
      </c>
      <c r="E291" s="20" t="s">
        <v>768</v>
      </c>
      <c r="F291" s="20" t="s">
        <v>291</v>
      </c>
      <c r="G291" s="2" t="s">
        <v>43</v>
      </c>
      <c r="H291" s="3">
        <v>12</v>
      </c>
      <c r="I291" s="4">
        <v>15.5</v>
      </c>
      <c r="J291" s="5">
        <f t="shared" si="21"/>
        <v>186</v>
      </c>
      <c r="K291" s="6">
        <v>0.08</v>
      </c>
      <c r="L291" s="5">
        <f t="shared" si="22"/>
        <v>171.12</v>
      </c>
      <c r="M291" s="4">
        <v>3</v>
      </c>
      <c r="N291" s="5">
        <f t="shared" si="23"/>
        <v>36</v>
      </c>
      <c r="O291" s="5">
        <f t="shared" si="24"/>
        <v>135.12</v>
      </c>
      <c r="P291" s="2" t="s">
        <v>19</v>
      </c>
    </row>
    <row r="292" spans="1:16" x14ac:dyDescent="0.3">
      <c r="A292" s="2">
        <f t="shared" si="25"/>
        <v>20250291</v>
      </c>
      <c r="B292" s="25">
        <v>45675</v>
      </c>
      <c r="C292" s="2" t="s">
        <v>486</v>
      </c>
      <c r="D292" s="2" t="s">
        <v>24</v>
      </c>
      <c r="E292" s="20" t="s">
        <v>717</v>
      </c>
      <c r="F292" s="20" t="s">
        <v>292</v>
      </c>
      <c r="G292" s="2" t="s">
        <v>43</v>
      </c>
      <c r="H292" s="3">
        <v>25</v>
      </c>
      <c r="I292" s="4">
        <v>18.47</v>
      </c>
      <c r="J292" s="5">
        <f t="shared" si="21"/>
        <v>461.75</v>
      </c>
      <c r="K292" s="6">
        <v>0</v>
      </c>
      <c r="L292" s="5">
        <f t="shared" si="22"/>
        <v>461.75</v>
      </c>
      <c r="M292" s="4">
        <v>3</v>
      </c>
      <c r="N292" s="5">
        <f t="shared" si="23"/>
        <v>75</v>
      </c>
      <c r="O292" s="5">
        <f t="shared" si="24"/>
        <v>386.75</v>
      </c>
      <c r="P292" s="2" t="s">
        <v>19</v>
      </c>
    </row>
    <row r="293" spans="1:16" x14ac:dyDescent="0.3">
      <c r="A293" s="2">
        <f t="shared" si="25"/>
        <v>20250292</v>
      </c>
      <c r="B293" s="25">
        <v>45676</v>
      </c>
      <c r="C293" s="2" t="s">
        <v>486</v>
      </c>
      <c r="D293" s="2" t="s">
        <v>28</v>
      </c>
      <c r="E293" s="20" t="s">
        <v>769</v>
      </c>
      <c r="F293" s="20" t="s">
        <v>293</v>
      </c>
      <c r="G293" s="2" t="s">
        <v>21</v>
      </c>
      <c r="H293" s="3">
        <v>64</v>
      </c>
      <c r="I293" s="4">
        <v>24.19</v>
      </c>
      <c r="J293" s="5">
        <f t="shared" si="21"/>
        <v>1548.16</v>
      </c>
      <c r="K293" s="6">
        <v>0.05</v>
      </c>
      <c r="L293" s="5">
        <f t="shared" si="22"/>
        <v>1470.752</v>
      </c>
      <c r="M293" s="4">
        <v>15</v>
      </c>
      <c r="N293" s="5">
        <f t="shared" si="23"/>
        <v>960</v>
      </c>
      <c r="O293" s="5">
        <f t="shared" si="24"/>
        <v>510.75199999999995</v>
      </c>
      <c r="P293" s="2" t="s">
        <v>19</v>
      </c>
    </row>
    <row r="294" spans="1:16" x14ac:dyDescent="0.3">
      <c r="A294" s="2">
        <f t="shared" si="25"/>
        <v>20250293</v>
      </c>
      <c r="B294" s="25">
        <v>45676</v>
      </c>
      <c r="C294" s="2" t="s">
        <v>486</v>
      </c>
      <c r="D294" s="2" t="s">
        <v>16</v>
      </c>
      <c r="E294" s="20" t="s">
        <v>770</v>
      </c>
      <c r="F294" s="20" t="s">
        <v>294</v>
      </c>
      <c r="G294" s="2" t="s">
        <v>18</v>
      </c>
      <c r="H294" s="3">
        <v>17</v>
      </c>
      <c r="I294" s="4">
        <v>9.1</v>
      </c>
      <c r="J294" s="5">
        <f t="shared" si="21"/>
        <v>154.69999999999999</v>
      </c>
      <c r="K294" s="6">
        <v>0</v>
      </c>
      <c r="L294" s="5">
        <f t="shared" si="22"/>
        <v>154.69999999999999</v>
      </c>
      <c r="M294" s="4">
        <v>1</v>
      </c>
      <c r="N294" s="5">
        <f t="shared" si="23"/>
        <v>17</v>
      </c>
      <c r="O294" s="5">
        <f t="shared" si="24"/>
        <v>137.69999999999999</v>
      </c>
      <c r="P294" s="2" t="s">
        <v>19</v>
      </c>
    </row>
    <row r="295" spans="1:16" x14ac:dyDescent="0.3">
      <c r="A295" s="2">
        <f t="shared" si="25"/>
        <v>20250294</v>
      </c>
      <c r="B295" s="25">
        <v>45676</v>
      </c>
      <c r="C295" s="2" t="s">
        <v>486</v>
      </c>
      <c r="D295" s="2" t="s">
        <v>24</v>
      </c>
      <c r="E295" s="20" t="s">
        <v>962</v>
      </c>
      <c r="F295" s="20" t="s">
        <v>295</v>
      </c>
      <c r="G295" s="2" t="s">
        <v>21</v>
      </c>
      <c r="H295" s="3">
        <v>2</v>
      </c>
      <c r="I295" s="4">
        <v>28.1</v>
      </c>
      <c r="J295" s="5">
        <f t="shared" si="21"/>
        <v>56.2</v>
      </c>
      <c r="K295" s="6">
        <v>0.03</v>
      </c>
      <c r="L295" s="5">
        <f t="shared" si="22"/>
        <v>54.514000000000003</v>
      </c>
      <c r="M295" s="4">
        <v>15</v>
      </c>
      <c r="N295" s="5">
        <f t="shared" si="23"/>
        <v>30</v>
      </c>
      <c r="O295" s="5">
        <f t="shared" si="24"/>
        <v>24.514000000000003</v>
      </c>
      <c r="P295" s="2" t="s">
        <v>19</v>
      </c>
    </row>
    <row r="296" spans="1:16" x14ac:dyDescent="0.3">
      <c r="A296" s="2">
        <f t="shared" si="25"/>
        <v>20250295</v>
      </c>
      <c r="B296" s="25">
        <v>45676</v>
      </c>
      <c r="C296" s="2" t="s">
        <v>486</v>
      </c>
      <c r="D296" s="2" t="s">
        <v>24</v>
      </c>
      <c r="E296" s="20" t="s">
        <v>771</v>
      </c>
      <c r="F296" s="20" t="s">
        <v>296</v>
      </c>
      <c r="G296" s="2" t="s">
        <v>21</v>
      </c>
      <c r="H296" s="3">
        <v>1</v>
      </c>
      <c r="I296" s="4">
        <v>32.18</v>
      </c>
      <c r="J296" s="5">
        <f t="shared" si="21"/>
        <v>32.18</v>
      </c>
      <c r="K296" s="6">
        <v>0</v>
      </c>
      <c r="L296" s="5">
        <f t="shared" si="22"/>
        <v>0</v>
      </c>
      <c r="M296" s="4">
        <v>15</v>
      </c>
      <c r="N296" s="5">
        <f t="shared" si="23"/>
        <v>0</v>
      </c>
      <c r="O296" s="5">
        <f t="shared" si="24"/>
        <v>0</v>
      </c>
      <c r="P296" s="2" t="s">
        <v>22</v>
      </c>
    </row>
    <row r="297" spans="1:16" x14ac:dyDescent="0.3">
      <c r="A297" s="2">
        <f t="shared" si="25"/>
        <v>20250296</v>
      </c>
      <c r="B297" s="25">
        <v>45676</v>
      </c>
      <c r="C297" s="2" t="s">
        <v>486</v>
      </c>
      <c r="D297" s="2" t="s">
        <v>28</v>
      </c>
      <c r="E297" s="20" t="s">
        <v>772</v>
      </c>
      <c r="F297" s="20" t="s">
        <v>297</v>
      </c>
      <c r="G297" s="2" t="s">
        <v>27</v>
      </c>
      <c r="H297" s="3">
        <v>12</v>
      </c>
      <c r="I297" s="4">
        <v>40.770000000000003</v>
      </c>
      <c r="J297" s="5">
        <f t="shared" si="21"/>
        <v>489.24</v>
      </c>
      <c r="K297" s="6">
        <v>0.1</v>
      </c>
      <c r="L297" s="5">
        <f t="shared" si="22"/>
        <v>440.31600000000003</v>
      </c>
      <c r="M297" s="4">
        <v>24</v>
      </c>
      <c r="N297" s="5">
        <f t="shared" si="23"/>
        <v>288</v>
      </c>
      <c r="O297" s="5">
        <f t="shared" si="24"/>
        <v>152.31600000000003</v>
      </c>
      <c r="P297" s="2" t="s">
        <v>19</v>
      </c>
    </row>
    <row r="298" spans="1:16" x14ac:dyDescent="0.3">
      <c r="A298" s="2">
        <f t="shared" si="25"/>
        <v>20250297</v>
      </c>
      <c r="B298" s="25">
        <v>45676</v>
      </c>
      <c r="C298" s="2" t="s">
        <v>486</v>
      </c>
      <c r="D298" s="2" t="s">
        <v>28</v>
      </c>
      <c r="E298" s="20" t="s">
        <v>773</v>
      </c>
      <c r="F298" s="20" t="s">
        <v>298</v>
      </c>
      <c r="G298" s="2" t="s">
        <v>18</v>
      </c>
      <c r="H298" s="3">
        <v>43</v>
      </c>
      <c r="I298" s="4">
        <v>8.5399999999999991</v>
      </c>
      <c r="J298" s="5">
        <f t="shared" si="21"/>
        <v>367.21999999999997</v>
      </c>
      <c r="K298" s="6">
        <v>0.15</v>
      </c>
      <c r="L298" s="5">
        <f t="shared" si="22"/>
        <v>312.13699999999994</v>
      </c>
      <c r="M298" s="4">
        <v>1</v>
      </c>
      <c r="N298" s="5">
        <f t="shared" si="23"/>
        <v>43</v>
      </c>
      <c r="O298" s="5">
        <f t="shared" si="24"/>
        <v>269.13699999999994</v>
      </c>
      <c r="P298" s="2" t="s">
        <v>19</v>
      </c>
    </row>
    <row r="299" spans="1:16" x14ac:dyDescent="0.3">
      <c r="A299" s="2">
        <f t="shared" si="25"/>
        <v>20250298</v>
      </c>
      <c r="B299" s="25">
        <v>45676</v>
      </c>
      <c r="C299" s="2" t="s">
        <v>486</v>
      </c>
      <c r="D299" s="2" t="s">
        <v>16</v>
      </c>
      <c r="E299" s="20" t="s">
        <v>774</v>
      </c>
      <c r="F299" s="20" t="s">
        <v>299</v>
      </c>
      <c r="G299" s="2" t="s">
        <v>18</v>
      </c>
      <c r="H299" s="3">
        <v>12</v>
      </c>
      <c r="I299" s="4">
        <v>9.06</v>
      </c>
      <c r="J299" s="5">
        <f t="shared" si="21"/>
        <v>108.72</v>
      </c>
      <c r="K299" s="6">
        <v>0</v>
      </c>
      <c r="L299" s="5">
        <f t="shared" si="22"/>
        <v>108.72</v>
      </c>
      <c r="M299" s="4">
        <v>1</v>
      </c>
      <c r="N299" s="5">
        <f t="shared" si="23"/>
        <v>12</v>
      </c>
      <c r="O299" s="5">
        <f t="shared" si="24"/>
        <v>96.72</v>
      </c>
      <c r="P299" s="2" t="s">
        <v>19</v>
      </c>
    </row>
    <row r="300" spans="1:16" x14ac:dyDescent="0.3">
      <c r="A300" s="2">
        <f t="shared" si="25"/>
        <v>20250299</v>
      </c>
      <c r="B300" s="25">
        <v>45676</v>
      </c>
      <c r="C300" s="2" t="s">
        <v>486</v>
      </c>
      <c r="D300" s="2" t="s">
        <v>28</v>
      </c>
      <c r="E300" s="20" t="s">
        <v>948</v>
      </c>
      <c r="F300" s="20" t="s">
        <v>300</v>
      </c>
      <c r="G300" s="2" t="s">
        <v>32</v>
      </c>
      <c r="H300" s="3">
        <v>1</v>
      </c>
      <c r="I300" s="4">
        <v>19.93</v>
      </c>
      <c r="J300" s="5">
        <f t="shared" si="21"/>
        <v>19.93</v>
      </c>
      <c r="K300" s="6">
        <v>0.12</v>
      </c>
      <c r="L300" s="5">
        <f t="shared" si="22"/>
        <v>17.538399999999999</v>
      </c>
      <c r="M300" s="4">
        <v>9.5</v>
      </c>
      <c r="N300" s="5">
        <f t="shared" si="23"/>
        <v>9.5</v>
      </c>
      <c r="O300" s="5">
        <f t="shared" si="24"/>
        <v>8.0383999999999993</v>
      </c>
      <c r="P300" s="2" t="s">
        <v>19</v>
      </c>
    </row>
    <row r="301" spans="1:16" x14ac:dyDescent="0.3">
      <c r="A301" s="2">
        <f t="shared" si="25"/>
        <v>20250300</v>
      </c>
      <c r="B301" s="25">
        <v>45676</v>
      </c>
      <c r="C301" s="2" t="s">
        <v>486</v>
      </c>
      <c r="D301" s="2" t="s">
        <v>16</v>
      </c>
      <c r="E301" s="20" t="s">
        <v>775</v>
      </c>
      <c r="F301" s="20" t="s">
        <v>301</v>
      </c>
      <c r="G301" s="2" t="s">
        <v>32</v>
      </c>
      <c r="H301" s="3">
        <v>11</v>
      </c>
      <c r="I301" s="4">
        <v>18.88</v>
      </c>
      <c r="J301" s="5">
        <f t="shared" si="21"/>
        <v>207.67999999999998</v>
      </c>
      <c r="K301" s="6">
        <v>0.02</v>
      </c>
      <c r="L301" s="5">
        <f t="shared" si="22"/>
        <v>203.52639999999997</v>
      </c>
      <c r="M301" s="4">
        <v>9.5</v>
      </c>
      <c r="N301" s="5">
        <f t="shared" si="23"/>
        <v>104.5</v>
      </c>
      <c r="O301" s="5">
        <f t="shared" si="24"/>
        <v>99.026399999999967</v>
      </c>
      <c r="P301" s="2" t="s">
        <v>19</v>
      </c>
    </row>
    <row r="302" spans="1:16" x14ac:dyDescent="0.3">
      <c r="A302" s="2">
        <f t="shared" si="25"/>
        <v>20250301</v>
      </c>
      <c r="B302" s="25">
        <v>45676</v>
      </c>
      <c r="C302" s="2" t="s">
        <v>486</v>
      </c>
      <c r="D302" s="2" t="s">
        <v>28</v>
      </c>
      <c r="E302" s="20" t="s">
        <v>776</v>
      </c>
      <c r="F302" s="20" t="s">
        <v>302</v>
      </c>
      <c r="G302" s="2" t="s">
        <v>18</v>
      </c>
      <c r="H302" s="3">
        <v>12</v>
      </c>
      <c r="I302" s="4">
        <v>9.1999999999999993</v>
      </c>
      <c r="J302" s="5">
        <f t="shared" si="21"/>
        <v>110.39999999999999</v>
      </c>
      <c r="K302" s="6">
        <v>0.12</v>
      </c>
      <c r="L302" s="5">
        <f t="shared" si="22"/>
        <v>0</v>
      </c>
      <c r="M302" s="4">
        <v>1</v>
      </c>
      <c r="N302" s="5">
        <f t="shared" si="23"/>
        <v>0</v>
      </c>
      <c r="O302" s="5">
        <f t="shared" si="24"/>
        <v>0</v>
      </c>
      <c r="P302" s="2" t="s">
        <v>22</v>
      </c>
    </row>
    <row r="303" spans="1:16" x14ac:dyDescent="0.3">
      <c r="A303" s="2">
        <f t="shared" si="25"/>
        <v>20250302</v>
      </c>
      <c r="B303" s="25">
        <v>45676</v>
      </c>
      <c r="C303" s="2" t="s">
        <v>486</v>
      </c>
      <c r="D303" s="2" t="s">
        <v>16</v>
      </c>
      <c r="E303" s="20" t="s">
        <v>777</v>
      </c>
      <c r="F303" s="20" t="s">
        <v>303</v>
      </c>
      <c r="G303" s="2" t="s">
        <v>32</v>
      </c>
      <c r="H303" s="3">
        <v>1</v>
      </c>
      <c r="I303" s="4">
        <v>21.14</v>
      </c>
      <c r="J303" s="5">
        <f t="shared" ref="J303:J366" si="26">H303*I303</f>
        <v>21.14</v>
      </c>
      <c r="K303" s="6">
        <v>0.05</v>
      </c>
      <c r="L303" s="5">
        <f t="shared" ref="L303:L366" si="27">IF(P303="Returned",0,J303*(1-K303))</f>
        <v>20.082999999999998</v>
      </c>
      <c r="M303" s="4">
        <v>9.5</v>
      </c>
      <c r="N303" s="5">
        <f t="shared" ref="N303:N366" si="28">IF(P303="Returned",0,H303*M303)</f>
        <v>9.5</v>
      </c>
      <c r="O303" s="5">
        <f t="shared" ref="O303:O366" si="29">L303-N303</f>
        <v>10.582999999999998</v>
      </c>
      <c r="P303" s="2" t="s">
        <v>19</v>
      </c>
    </row>
    <row r="304" spans="1:16" x14ac:dyDescent="0.3">
      <c r="A304" s="2">
        <f t="shared" si="25"/>
        <v>20250303</v>
      </c>
      <c r="B304" s="25">
        <v>45676</v>
      </c>
      <c r="C304" s="2" t="s">
        <v>486</v>
      </c>
      <c r="D304" s="2" t="s">
        <v>24</v>
      </c>
      <c r="E304" s="20" t="s">
        <v>778</v>
      </c>
      <c r="F304" s="20" t="s">
        <v>304</v>
      </c>
      <c r="G304" s="2" t="s">
        <v>43</v>
      </c>
      <c r="H304" s="3">
        <v>17</v>
      </c>
      <c r="I304" s="4">
        <v>19.46</v>
      </c>
      <c r="J304" s="5">
        <f t="shared" si="26"/>
        <v>330.82</v>
      </c>
      <c r="K304" s="6">
        <v>0.03</v>
      </c>
      <c r="L304" s="5">
        <f t="shared" si="27"/>
        <v>320.8954</v>
      </c>
      <c r="M304" s="4">
        <v>3</v>
      </c>
      <c r="N304" s="5">
        <f t="shared" si="28"/>
        <v>51</v>
      </c>
      <c r="O304" s="5">
        <f t="shared" si="29"/>
        <v>269.8954</v>
      </c>
      <c r="P304" s="2" t="s">
        <v>19</v>
      </c>
    </row>
    <row r="305" spans="1:16" x14ac:dyDescent="0.3">
      <c r="A305" s="2">
        <f t="shared" si="25"/>
        <v>20250304</v>
      </c>
      <c r="B305" s="25">
        <v>45676</v>
      </c>
      <c r="C305" s="2" t="s">
        <v>486</v>
      </c>
      <c r="D305" s="2" t="s">
        <v>16</v>
      </c>
      <c r="E305" s="20" t="s">
        <v>779</v>
      </c>
      <c r="F305" s="20" t="s">
        <v>305</v>
      </c>
      <c r="G305" s="2" t="s">
        <v>18</v>
      </c>
      <c r="H305" s="3">
        <v>17</v>
      </c>
      <c r="I305" s="4">
        <v>11.07</v>
      </c>
      <c r="J305" s="5">
        <f t="shared" si="26"/>
        <v>188.19</v>
      </c>
      <c r="K305" s="6">
        <v>0.02</v>
      </c>
      <c r="L305" s="5">
        <f t="shared" si="27"/>
        <v>184.42619999999999</v>
      </c>
      <c r="M305" s="4">
        <v>1</v>
      </c>
      <c r="N305" s="5">
        <f t="shared" si="28"/>
        <v>17</v>
      </c>
      <c r="O305" s="5">
        <f t="shared" si="29"/>
        <v>167.42619999999999</v>
      </c>
      <c r="P305" s="2" t="s">
        <v>19</v>
      </c>
    </row>
    <row r="306" spans="1:16" x14ac:dyDescent="0.3">
      <c r="A306" s="2">
        <f t="shared" si="25"/>
        <v>20250305</v>
      </c>
      <c r="B306" s="25">
        <v>45676</v>
      </c>
      <c r="C306" s="2" t="s">
        <v>486</v>
      </c>
      <c r="D306" s="2" t="s">
        <v>16</v>
      </c>
      <c r="E306" s="20" t="s">
        <v>780</v>
      </c>
      <c r="F306" s="20" t="s">
        <v>963</v>
      </c>
      <c r="G306" s="2" t="s">
        <v>27</v>
      </c>
      <c r="H306" s="3">
        <v>3</v>
      </c>
      <c r="I306" s="4">
        <v>57.01</v>
      </c>
      <c r="J306" s="5">
        <f t="shared" si="26"/>
        <v>171.03</v>
      </c>
      <c r="K306" s="6">
        <v>0</v>
      </c>
      <c r="L306" s="5">
        <f t="shared" si="27"/>
        <v>171.03</v>
      </c>
      <c r="M306" s="4">
        <v>24</v>
      </c>
      <c r="N306" s="5">
        <f t="shared" si="28"/>
        <v>72</v>
      </c>
      <c r="O306" s="5">
        <f t="shared" si="29"/>
        <v>99.03</v>
      </c>
      <c r="P306" s="2" t="s">
        <v>19</v>
      </c>
    </row>
    <row r="307" spans="1:16" x14ac:dyDescent="0.3">
      <c r="A307" s="2">
        <f t="shared" si="25"/>
        <v>20250306</v>
      </c>
      <c r="B307" s="25">
        <v>45676</v>
      </c>
      <c r="C307" s="2" t="s">
        <v>486</v>
      </c>
      <c r="D307" s="2" t="s">
        <v>24</v>
      </c>
      <c r="E307" s="20" t="s">
        <v>781</v>
      </c>
      <c r="F307" s="20" t="s">
        <v>306</v>
      </c>
      <c r="G307" s="2" t="s">
        <v>32</v>
      </c>
      <c r="H307" s="3">
        <v>13</v>
      </c>
      <c r="I307" s="4">
        <v>20.059999999999999</v>
      </c>
      <c r="J307" s="5">
        <f t="shared" si="26"/>
        <v>260.77999999999997</v>
      </c>
      <c r="K307" s="6">
        <v>0.05</v>
      </c>
      <c r="L307" s="5">
        <f t="shared" si="27"/>
        <v>247.74099999999996</v>
      </c>
      <c r="M307" s="4">
        <v>9.5</v>
      </c>
      <c r="N307" s="5">
        <f t="shared" si="28"/>
        <v>123.5</v>
      </c>
      <c r="O307" s="5">
        <f t="shared" si="29"/>
        <v>124.24099999999996</v>
      </c>
      <c r="P307" s="2" t="s">
        <v>19</v>
      </c>
    </row>
    <row r="308" spans="1:16" x14ac:dyDescent="0.3">
      <c r="A308" s="2">
        <f t="shared" si="25"/>
        <v>20250307</v>
      </c>
      <c r="B308" s="25">
        <v>45676</v>
      </c>
      <c r="C308" s="2" t="s">
        <v>486</v>
      </c>
      <c r="D308" s="2" t="s">
        <v>16</v>
      </c>
      <c r="E308" s="20" t="s">
        <v>782</v>
      </c>
      <c r="F308" s="20" t="s">
        <v>307</v>
      </c>
      <c r="G308" s="2" t="s">
        <v>21</v>
      </c>
      <c r="H308" s="3">
        <v>5</v>
      </c>
      <c r="I308" s="4">
        <v>29.82</v>
      </c>
      <c r="J308" s="5">
        <f t="shared" si="26"/>
        <v>149.1</v>
      </c>
      <c r="K308" s="6">
        <v>0.03</v>
      </c>
      <c r="L308" s="5">
        <f t="shared" si="27"/>
        <v>144.62699999999998</v>
      </c>
      <c r="M308" s="4">
        <v>15</v>
      </c>
      <c r="N308" s="5">
        <f t="shared" si="28"/>
        <v>75</v>
      </c>
      <c r="O308" s="5">
        <f t="shared" si="29"/>
        <v>69.626999999999981</v>
      </c>
      <c r="P308" s="2" t="s">
        <v>19</v>
      </c>
    </row>
    <row r="309" spans="1:16" x14ac:dyDescent="0.3">
      <c r="A309" s="2">
        <f t="shared" si="25"/>
        <v>20250308</v>
      </c>
      <c r="B309" s="25">
        <v>45676</v>
      </c>
      <c r="C309" s="2" t="s">
        <v>486</v>
      </c>
      <c r="D309" s="2" t="s">
        <v>24</v>
      </c>
      <c r="E309" s="20" t="s">
        <v>783</v>
      </c>
      <c r="F309" s="20" t="s">
        <v>308</v>
      </c>
      <c r="G309" s="2" t="s">
        <v>27</v>
      </c>
      <c r="H309" s="3">
        <v>10</v>
      </c>
      <c r="I309" s="4">
        <v>49.53</v>
      </c>
      <c r="J309" s="5">
        <f t="shared" si="26"/>
        <v>495.3</v>
      </c>
      <c r="K309" s="6">
        <v>0</v>
      </c>
      <c r="L309" s="5">
        <f t="shared" si="27"/>
        <v>495.3</v>
      </c>
      <c r="M309" s="4">
        <v>24</v>
      </c>
      <c r="N309" s="5">
        <f t="shared" si="28"/>
        <v>240</v>
      </c>
      <c r="O309" s="5">
        <f t="shared" si="29"/>
        <v>255.3</v>
      </c>
      <c r="P309" s="2" t="s">
        <v>19</v>
      </c>
    </row>
    <row r="310" spans="1:16" x14ac:dyDescent="0.3">
      <c r="A310" s="2">
        <f t="shared" si="25"/>
        <v>20250309</v>
      </c>
      <c r="B310" s="25">
        <v>45676</v>
      </c>
      <c r="C310" s="2" t="s">
        <v>486</v>
      </c>
      <c r="D310" s="2" t="s">
        <v>28</v>
      </c>
      <c r="E310" s="20" t="s">
        <v>784</v>
      </c>
      <c r="F310" s="20" t="s">
        <v>309</v>
      </c>
      <c r="G310" s="2" t="s">
        <v>18</v>
      </c>
      <c r="H310" s="3">
        <v>11</v>
      </c>
      <c r="I310" s="4">
        <v>8.5299999999999994</v>
      </c>
      <c r="J310" s="5">
        <f t="shared" si="26"/>
        <v>93.83</v>
      </c>
      <c r="K310" s="6">
        <v>0.08</v>
      </c>
      <c r="L310" s="5">
        <f t="shared" si="27"/>
        <v>86.323599999999999</v>
      </c>
      <c r="M310" s="4">
        <v>1</v>
      </c>
      <c r="N310" s="5">
        <f t="shared" si="28"/>
        <v>11</v>
      </c>
      <c r="O310" s="5">
        <f t="shared" si="29"/>
        <v>75.323599999999999</v>
      </c>
      <c r="P310" s="2" t="s">
        <v>19</v>
      </c>
    </row>
    <row r="311" spans="1:16" x14ac:dyDescent="0.3">
      <c r="A311" s="2">
        <f t="shared" si="25"/>
        <v>20250310</v>
      </c>
      <c r="B311" s="25">
        <v>45676</v>
      </c>
      <c r="C311" s="2" t="s">
        <v>486</v>
      </c>
      <c r="D311" s="2" t="s">
        <v>24</v>
      </c>
      <c r="E311" s="20" t="s">
        <v>785</v>
      </c>
      <c r="F311" s="20" t="s">
        <v>310</v>
      </c>
      <c r="G311" s="2" t="s">
        <v>18</v>
      </c>
      <c r="H311" s="3">
        <v>13</v>
      </c>
      <c r="I311" s="4">
        <v>10.24</v>
      </c>
      <c r="J311" s="5">
        <f t="shared" si="26"/>
        <v>133.12</v>
      </c>
      <c r="K311" s="6">
        <v>0</v>
      </c>
      <c r="L311" s="5">
        <f t="shared" si="27"/>
        <v>133.12</v>
      </c>
      <c r="M311" s="4">
        <v>1</v>
      </c>
      <c r="N311" s="5">
        <f t="shared" si="28"/>
        <v>13</v>
      </c>
      <c r="O311" s="5">
        <f t="shared" si="29"/>
        <v>120.12</v>
      </c>
      <c r="P311" s="2" t="s">
        <v>19</v>
      </c>
    </row>
    <row r="312" spans="1:16" x14ac:dyDescent="0.3">
      <c r="A312" s="2">
        <f t="shared" si="25"/>
        <v>20250311</v>
      </c>
      <c r="B312" s="25">
        <v>45676</v>
      </c>
      <c r="C312" s="2" t="s">
        <v>486</v>
      </c>
      <c r="D312" s="2" t="s">
        <v>16</v>
      </c>
      <c r="E312" s="20" t="s">
        <v>710</v>
      </c>
      <c r="F312" s="20" t="s">
        <v>311</v>
      </c>
      <c r="G312" s="2" t="s">
        <v>32</v>
      </c>
      <c r="H312" s="3">
        <v>25</v>
      </c>
      <c r="I312" s="4">
        <v>21.34</v>
      </c>
      <c r="J312" s="5">
        <f t="shared" si="26"/>
        <v>533.5</v>
      </c>
      <c r="K312" s="6">
        <v>0</v>
      </c>
      <c r="L312" s="5">
        <f t="shared" si="27"/>
        <v>0</v>
      </c>
      <c r="M312" s="4">
        <v>9.5</v>
      </c>
      <c r="N312" s="5">
        <f t="shared" si="28"/>
        <v>0</v>
      </c>
      <c r="O312" s="5">
        <f t="shared" si="29"/>
        <v>0</v>
      </c>
      <c r="P312" s="2" t="s">
        <v>22</v>
      </c>
    </row>
    <row r="313" spans="1:16" x14ac:dyDescent="0.3">
      <c r="A313" s="2">
        <f t="shared" si="25"/>
        <v>20250312</v>
      </c>
      <c r="B313" s="25">
        <v>45676</v>
      </c>
      <c r="C313" s="2" t="s">
        <v>486</v>
      </c>
      <c r="D313" s="2" t="s">
        <v>28</v>
      </c>
      <c r="E313" s="20" t="s">
        <v>786</v>
      </c>
      <c r="F313" s="20" t="s">
        <v>964</v>
      </c>
      <c r="G313" s="2" t="s">
        <v>21</v>
      </c>
      <c r="H313" s="3">
        <v>1</v>
      </c>
      <c r="I313" s="4">
        <v>29.75</v>
      </c>
      <c r="J313" s="5">
        <f t="shared" si="26"/>
        <v>29.75</v>
      </c>
      <c r="K313" s="6">
        <v>0.08</v>
      </c>
      <c r="L313" s="5">
        <f t="shared" si="27"/>
        <v>27.37</v>
      </c>
      <c r="M313" s="4">
        <v>15</v>
      </c>
      <c r="N313" s="5">
        <f t="shared" si="28"/>
        <v>15</v>
      </c>
      <c r="O313" s="5">
        <f t="shared" si="29"/>
        <v>12.370000000000001</v>
      </c>
      <c r="P313" s="2" t="s">
        <v>19</v>
      </c>
    </row>
    <row r="314" spans="1:16" x14ac:dyDescent="0.3">
      <c r="A314" s="2">
        <f t="shared" si="25"/>
        <v>20250313</v>
      </c>
      <c r="B314" s="25">
        <v>45676</v>
      </c>
      <c r="C314" s="2" t="s">
        <v>486</v>
      </c>
      <c r="D314" s="2" t="s">
        <v>16</v>
      </c>
      <c r="E314" s="20" t="s">
        <v>787</v>
      </c>
      <c r="F314" s="20" t="s">
        <v>312</v>
      </c>
      <c r="G314" s="2" t="s">
        <v>18</v>
      </c>
      <c r="H314" s="3">
        <v>2</v>
      </c>
      <c r="I314" s="4">
        <v>10.18</v>
      </c>
      <c r="J314" s="5">
        <f t="shared" si="26"/>
        <v>20.36</v>
      </c>
      <c r="K314" s="6">
        <v>7.0000000000000007E-2</v>
      </c>
      <c r="L314" s="5">
        <f t="shared" si="27"/>
        <v>18.934799999999999</v>
      </c>
      <c r="M314" s="4">
        <v>1</v>
      </c>
      <c r="N314" s="5">
        <f t="shared" si="28"/>
        <v>2</v>
      </c>
      <c r="O314" s="5">
        <f t="shared" si="29"/>
        <v>16.934799999999999</v>
      </c>
      <c r="P314" s="2" t="s">
        <v>19</v>
      </c>
    </row>
    <row r="315" spans="1:16" x14ac:dyDescent="0.3">
      <c r="A315" s="2">
        <f t="shared" si="25"/>
        <v>20250314</v>
      </c>
      <c r="B315" s="25">
        <v>45676</v>
      </c>
      <c r="C315" s="2" t="s">
        <v>486</v>
      </c>
      <c r="D315" s="2" t="s">
        <v>16</v>
      </c>
      <c r="E315" s="20" t="s">
        <v>788</v>
      </c>
      <c r="F315" s="20" t="s">
        <v>313</v>
      </c>
      <c r="G315" s="2" t="s">
        <v>43</v>
      </c>
      <c r="H315" s="3">
        <v>6</v>
      </c>
      <c r="I315" s="4">
        <v>14.3</v>
      </c>
      <c r="J315" s="5">
        <f t="shared" si="26"/>
        <v>85.800000000000011</v>
      </c>
      <c r="K315" s="6">
        <v>0.03</v>
      </c>
      <c r="L315" s="5">
        <f t="shared" si="27"/>
        <v>0</v>
      </c>
      <c r="M315" s="4">
        <v>3</v>
      </c>
      <c r="N315" s="5">
        <f t="shared" si="28"/>
        <v>0</v>
      </c>
      <c r="O315" s="5">
        <f t="shared" si="29"/>
        <v>0</v>
      </c>
      <c r="P315" s="2" t="s">
        <v>22</v>
      </c>
    </row>
    <row r="316" spans="1:16" x14ac:dyDescent="0.3">
      <c r="A316" s="2">
        <f t="shared" si="25"/>
        <v>20250315</v>
      </c>
      <c r="B316" s="25">
        <v>45676</v>
      </c>
      <c r="C316" s="2" t="s">
        <v>486</v>
      </c>
      <c r="D316" s="2" t="s">
        <v>16</v>
      </c>
      <c r="E316" s="20" t="s">
        <v>789</v>
      </c>
      <c r="F316" s="20" t="s">
        <v>314</v>
      </c>
      <c r="G316" s="2" t="s">
        <v>27</v>
      </c>
      <c r="H316" s="3">
        <v>14</v>
      </c>
      <c r="I316" s="4">
        <v>39.86</v>
      </c>
      <c r="J316" s="5">
        <f t="shared" si="26"/>
        <v>558.04</v>
      </c>
      <c r="K316" s="6">
        <v>7.0000000000000007E-2</v>
      </c>
      <c r="L316" s="5">
        <f t="shared" si="27"/>
        <v>518.97719999999993</v>
      </c>
      <c r="M316" s="4">
        <v>24</v>
      </c>
      <c r="N316" s="5">
        <f t="shared" si="28"/>
        <v>336</v>
      </c>
      <c r="O316" s="5">
        <f t="shared" si="29"/>
        <v>182.97719999999993</v>
      </c>
      <c r="P316" s="2" t="s">
        <v>19</v>
      </c>
    </row>
    <row r="317" spans="1:16" x14ac:dyDescent="0.3">
      <c r="A317" s="2">
        <f t="shared" si="25"/>
        <v>20250316</v>
      </c>
      <c r="B317" s="25">
        <v>45677</v>
      </c>
      <c r="C317" s="2" t="s">
        <v>486</v>
      </c>
      <c r="D317" s="2" t="s">
        <v>28</v>
      </c>
      <c r="E317" s="20" t="s">
        <v>790</v>
      </c>
      <c r="F317" s="20" t="s">
        <v>315</v>
      </c>
      <c r="G317" s="2" t="s">
        <v>32</v>
      </c>
      <c r="H317" s="3">
        <v>90</v>
      </c>
      <c r="I317" s="4">
        <v>17.559999999999999</v>
      </c>
      <c r="J317" s="5">
        <f t="shared" si="26"/>
        <v>1580.3999999999999</v>
      </c>
      <c r="K317" s="6">
        <v>0.15</v>
      </c>
      <c r="L317" s="5">
        <f t="shared" si="27"/>
        <v>1343.34</v>
      </c>
      <c r="M317" s="4">
        <v>9.5</v>
      </c>
      <c r="N317" s="5">
        <f t="shared" si="28"/>
        <v>855</v>
      </c>
      <c r="O317" s="5">
        <f t="shared" si="29"/>
        <v>488.33999999999992</v>
      </c>
      <c r="P317" s="2" t="s">
        <v>19</v>
      </c>
    </row>
    <row r="318" spans="1:16" x14ac:dyDescent="0.3">
      <c r="A318" s="2">
        <f t="shared" si="25"/>
        <v>20250317</v>
      </c>
      <c r="B318" s="25">
        <v>45677</v>
      </c>
      <c r="C318" s="2" t="s">
        <v>486</v>
      </c>
      <c r="D318" s="2" t="s">
        <v>28</v>
      </c>
      <c r="E318" s="20" t="s">
        <v>791</v>
      </c>
      <c r="F318" s="20" t="s">
        <v>316</v>
      </c>
      <c r="G318" s="2" t="s">
        <v>18</v>
      </c>
      <c r="H318" s="3">
        <v>82</v>
      </c>
      <c r="I318" s="4">
        <v>9.43</v>
      </c>
      <c r="J318" s="5">
        <f t="shared" si="26"/>
        <v>773.26</v>
      </c>
      <c r="K318" s="6">
        <v>0.12</v>
      </c>
      <c r="L318" s="5">
        <f t="shared" si="27"/>
        <v>680.46879999999999</v>
      </c>
      <c r="M318" s="4">
        <v>1</v>
      </c>
      <c r="N318" s="5">
        <f t="shared" si="28"/>
        <v>82</v>
      </c>
      <c r="O318" s="5">
        <f t="shared" si="29"/>
        <v>598.46879999999999</v>
      </c>
      <c r="P318" s="2" t="s">
        <v>19</v>
      </c>
    </row>
    <row r="319" spans="1:16" x14ac:dyDescent="0.3">
      <c r="A319" s="2">
        <f t="shared" si="25"/>
        <v>20250318</v>
      </c>
      <c r="B319" s="25">
        <v>45677</v>
      </c>
      <c r="C319" s="2" t="s">
        <v>486</v>
      </c>
      <c r="D319" s="2" t="s">
        <v>16</v>
      </c>
      <c r="E319" s="20" t="s">
        <v>792</v>
      </c>
      <c r="F319" s="20" t="s">
        <v>317</v>
      </c>
      <c r="G319" s="2" t="s">
        <v>27</v>
      </c>
      <c r="H319" s="3">
        <v>2</v>
      </c>
      <c r="I319" s="4">
        <v>46.26</v>
      </c>
      <c r="J319" s="5">
        <f t="shared" si="26"/>
        <v>92.52</v>
      </c>
      <c r="K319" s="6">
        <v>7.0000000000000007E-2</v>
      </c>
      <c r="L319" s="5">
        <f t="shared" si="27"/>
        <v>86.043599999999984</v>
      </c>
      <c r="M319" s="4">
        <v>24</v>
      </c>
      <c r="N319" s="5">
        <f t="shared" si="28"/>
        <v>48</v>
      </c>
      <c r="O319" s="5">
        <f t="shared" si="29"/>
        <v>38.043599999999984</v>
      </c>
      <c r="P319" s="2" t="s">
        <v>19</v>
      </c>
    </row>
    <row r="320" spans="1:16" x14ac:dyDescent="0.3">
      <c r="A320" s="2">
        <f t="shared" si="25"/>
        <v>20250319</v>
      </c>
      <c r="B320" s="25">
        <v>45677</v>
      </c>
      <c r="C320" s="2" t="s">
        <v>486</v>
      </c>
      <c r="D320" s="2" t="s">
        <v>16</v>
      </c>
      <c r="E320" s="20" t="s">
        <v>793</v>
      </c>
      <c r="F320" s="20" t="s">
        <v>318</v>
      </c>
      <c r="G320" s="2" t="s">
        <v>32</v>
      </c>
      <c r="H320" s="3">
        <v>22</v>
      </c>
      <c r="I320" s="4">
        <v>19.45</v>
      </c>
      <c r="J320" s="5">
        <f t="shared" si="26"/>
        <v>427.9</v>
      </c>
      <c r="K320" s="6">
        <v>0</v>
      </c>
      <c r="L320" s="5">
        <f t="shared" si="27"/>
        <v>0</v>
      </c>
      <c r="M320" s="4">
        <v>9.5</v>
      </c>
      <c r="N320" s="5">
        <f t="shared" si="28"/>
        <v>0</v>
      </c>
      <c r="O320" s="5">
        <f t="shared" si="29"/>
        <v>0</v>
      </c>
      <c r="P320" s="2" t="s">
        <v>22</v>
      </c>
    </row>
    <row r="321" spans="1:16" x14ac:dyDescent="0.3">
      <c r="A321" s="2">
        <f t="shared" si="25"/>
        <v>20250320</v>
      </c>
      <c r="B321" s="25">
        <v>45677</v>
      </c>
      <c r="C321" s="2" t="s">
        <v>486</v>
      </c>
      <c r="D321" s="2" t="s">
        <v>24</v>
      </c>
      <c r="E321" s="20" t="s">
        <v>794</v>
      </c>
      <c r="F321" s="20" t="s">
        <v>319</v>
      </c>
      <c r="G321" s="2" t="s">
        <v>43</v>
      </c>
      <c r="H321" s="3">
        <v>8</v>
      </c>
      <c r="I321" s="4">
        <v>17.45</v>
      </c>
      <c r="J321" s="5">
        <f t="shared" si="26"/>
        <v>139.6</v>
      </c>
      <c r="K321" s="6">
        <v>0.02</v>
      </c>
      <c r="L321" s="5">
        <f t="shared" si="27"/>
        <v>136.80799999999999</v>
      </c>
      <c r="M321" s="4">
        <v>3</v>
      </c>
      <c r="N321" s="5">
        <f t="shared" si="28"/>
        <v>24</v>
      </c>
      <c r="O321" s="5">
        <f t="shared" si="29"/>
        <v>112.80799999999999</v>
      </c>
      <c r="P321" s="2" t="s">
        <v>19</v>
      </c>
    </row>
    <row r="322" spans="1:16" x14ac:dyDescent="0.3">
      <c r="A322" s="2">
        <f t="shared" si="25"/>
        <v>20250321</v>
      </c>
      <c r="B322" s="25">
        <v>45677</v>
      </c>
      <c r="C322" s="2" t="s">
        <v>486</v>
      </c>
      <c r="D322" s="2" t="s">
        <v>28</v>
      </c>
      <c r="E322" s="20" t="s">
        <v>795</v>
      </c>
      <c r="F322" s="20" t="s">
        <v>320</v>
      </c>
      <c r="G322" s="2" t="s">
        <v>18</v>
      </c>
      <c r="H322" s="3">
        <v>16</v>
      </c>
      <c r="I322" s="4">
        <v>8.4600000000000009</v>
      </c>
      <c r="J322" s="5">
        <f t="shared" si="26"/>
        <v>135.36000000000001</v>
      </c>
      <c r="K322" s="6">
        <v>0.08</v>
      </c>
      <c r="L322" s="5">
        <f t="shared" si="27"/>
        <v>124.53120000000001</v>
      </c>
      <c r="M322" s="4">
        <v>1</v>
      </c>
      <c r="N322" s="5">
        <f t="shared" si="28"/>
        <v>16</v>
      </c>
      <c r="O322" s="5">
        <f t="shared" si="29"/>
        <v>108.53120000000001</v>
      </c>
      <c r="P322" s="2" t="s">
        <v>19</v>
      </c>
    </row>
    <row r="323" spans="1:16" x14ac:dyDescent="0.3">
      <c r="A323" s="2">
        <f t="shared" si="25"/>
        <v>20250322</v>
      </c>
      <c r="B323" s="25">
        <v>45677</v>
      </c>
      <c r="C323" s="2" t="s">
        <v>486</v>
      </c>
      <c r="D323" s="2" t="s">
        <v>28</v>
      </c>
      <c r="E323" s="20" t="s">
        <v>796</v>
      </c>
      <c r="F323" s="20" t="s">
        <v>965</v>
      </c>
      <c r="G323" s="2" t="s">
        <v>32</v>
      </c>
      <c r="H323" s="3">
        <v>17</v>
      </c>
      <c r="I323" s="4">
        <v>17.79</v>
      </c>
      <c r="J323" s="5">
        <f t="shared" si="26"/>
        <v>302.43</v>
      </c>
      <c r="K323" s="6">
        <v>0.1</v>
      </c>
      <c r="L323" s="5">
        <f t="shared" si="27"/>
        <v>272.18700000000001</v>
      </c>
      <c r="M323" s="4">
        <v>9.5</v>
      </c>
      <c r="N323" s="5">
        <f t="shared" si="28"/>
        <v>161.5</v>
      </c>
      <c r="O323" s="5">
        <f t="shared" si="29"/>
        <v>110.68700000000001</v>
      </c>
      <c r="P323" s="2" t="s">
        <v>19</v>
      </c>
    </row>
    <row r="324" spans="1:16" x14ac:dyDescent="0.3">
      <c r="A324" s="2">
        <f t="shared" ref="A324:A387" si="30">A323+1</f>
        <v>20250323</v>
      </c>
      <c r="B324" s="25">
        <v>45677</v>
      </c>
      <c r="C324" s="2" t="s">
        <v>486</v>
      </c>
      <c r="D324" s="2" t="s">
        <v>16</v>
      </c>
      <c r="E324" s="20" t="s">
        <v>797</v>
      </c>
      <c r="F324" s="20" t="s">
        <v>321</v>
      </c>
      <c r="G324" s="2" t="s">
        <v>18</v>
      </c>
      <c r="H324" s="3">
        <v>1</v>
      </c>
      <c r="I324" s="4">
        <v>8.0299999999999994</v>
      </c>
      <c r="J324" s="5">
        <f t="shared" si="26"/>
        <v>8.0299999999999994</v>
      </c>
      <c r="K324" s="6">
        <v>0</v>
      </c>
      <c r="L324" s="5">
        <f t="shared" si="27"/>
        <v>8.0299999999999994</v>
      </c>
      <c r="M324" s="4">
        <v>1</v>
      </c>
      <c r="N324" s="5">
        <f t="shared" si="28"/>
        <v>1</v>
      </c>
      <c r="O324" s="5">
        <f t="shared" si="29"/>
        <v>7.0299999999999994</v>
      </c>
      <c r="P324" s="2" t="s">
        <v>19</v>
      </c>
    </row>
    <row r="325" spans="1:16" x14ac:dyDescent="0.3">
      <c r="A325" s="2">
        <f t="shared" si="30"/>
        <v>20250324</v>
      </c>
      <c r="B325" s="25">
        <v>45677</v>
      </c>
      <c r="C325" s="2" t="s">
        <v>486</v>
      </c>
      <c r="D325" s="2" t="s">
        <v>16</v>
      </c>
      <c r="E325" s="20" t="s">
        <v>798</v>
      </c>
      <c r="F325" s="20" t="s">
        <v>322</v>
      </c>
      <c r="G325" s="2" t="s">
        <v>18</v>
      </c>
      <c r="H325" s="3">
        <v>19</v>
      </c>
      <c r="I325" s="4">
        <v>9.64</v>
      </c>
      <c r="J325" s="5">
        <f t="shared" si="26"/>
        <v>183.16000000000003</v>
      </c>
      <c r="K325" s="6">
        <v>0.05</v>
      </c>
      <c r="L325" s="5">
        <f t="shared" si="27"/>
        <v>174.00200000000001</v>
      </c>
      <c r="M325" s="4">
        <v>1</v>
      </c>
      <c r="N325" s="5">
        <f t="shared" si="28"/>
        <v>19</v>
      </c>
      <c r="O325" s="5">
        <f t="shared" si="29"/>
        <v>155.00200000000001</v>
      </c>
      <c r="P325" s="2" t="s">
        <v>19</v>
      </c>
    </row>
    <row r="326" spans="1:16" x14ac:dyDescent="0.3">
      <c r="A326" s="2">
        <f t="shared" si="30"/>
        <v>20250325</v>
      </c>
      <c r="B326" s="25">
        <v>45677</v>
      </c>
      <c r="C326" s="2" t="s">
        <v>486</v>
      </c>
      <c r="D326" s="2" t="s">
        <v>28</v>
      </c>
      <c r="E326" s="20" t="s">
        <v>799</v>
      </c>
      <c r="F326" s="20" t="s">
        <v>323</v>
      </c>
      <c r="G326" s="2" t="s">
        <v>43</v>
      </c>
      <c r="H326" s="3">
        <v>100</v>
      </c>
      <c r="I326" s="4">
        <v>12.26</v>
      </c>
      <c r="J326" s="5">
        <f t="shared" si="26"/>
        <v>1226</v>
      </c>
      <c r="K326" s="6">
        <v>0.15</v>
      </c>
      <c r="L326" s="5">
        <f t="shared" si="27"/>
        <v>1042.0999999999999</v>
      </c>
      <c r="M326" s="4">
        <v>3</v>
      </c>
      <c r="N326" s="5">
        <f t="shared" si="28"/>
        <v>300</v>
      </c>
      <c r="O326" s="5">
        <f t="shared" si="29"/>
        <v>742.09999999999991</v>
      </c>
      <c r="P326" s="2" t="s">
        <v>19</v>
      </c>
    </row>
    <row r="327" spans="1:16" x14ac:dyDescent="0.3">
      <c r="A327" s="2">
        <f t="shared" si="30"/>
        <v>20250326</v>
      </c>
      <c r="B327" s="25">
        <v>45677</v>
      </c>
      <c r="C327" s="2" t="s">
        <v>486</v>
      </c>
      <c r="D327" s="2" t="s">
        <v>28</v>
      </c>
      <c r="E327" s="20" t="s">
        <v>800</v>
      </c>
      <c r="F327" s="20" t="s">
        <v>324</v>
      </c>
      <c r="G327" s="2" t="s">
        <v>32</v>
      </c>
      <c r="H327" s="3">
        <v>26</v>
      </c>
      <c r="I327" s="4">
        <v>15.91</v>
      </c>
      <c r="J327" s="5">
        <f t="shared" si="26"/>
        <v>413.66</v>
      </c>
      <c r="K327" s="6">
        <v>0.05</v>
      </c>
      <c r="L327" s="5">
        <f t="shared" si="27"/>
        <v>392.97700000000003</v>
      </c>
      <c r="M327" s="4">
        <v>9.5</v>
      </c>
      <c r="N327" s="5">
        <f t="shared" si="28"/>
        <v>247</v>
      </c>
      <c r="O327" s="5">
        <f t="shared" si="29"/>
        <v>145.97700000000003</v>
      </c>
      <c r="P327" s="2" t="s">
        <v>19</v>
      </c>
    </row>
    <row r="328" spans="1:16" x14ac:dyDescent="0.3">
      <c r="A328" s="2">
        <f t="shared" si="30"/>
        <v>20250327</v>
      </c>
      <c r="B328" s="25">
        <v>45677</v>
      </c>
      <c r="C328" s="2" t="s">
        <v>486</v>
      </c>
      <c r="D328" s="2" t="s">
        <v>16</v>
      </c>
      <c r="E328" s="20" t="s">
        <v>801</v>
      </c>
      <c r="F328" s="20" t="s">
        <v>325</v>
      </c>
      <c r="G328" s="2" t="s">
        <v>27</v>
      </c>
      <c r="H328" s="3">
        <v>20</v>
      </c>
      <c r="I328" s="4">
        <v>48.32</v>
      </c>
      <c r="J328" s="5">
        <f t="shared" si="26"/>
        <v>966.4</v>
      </c>
      <c r="K328" s="6">
        <v>0</v>
      </c>
      <c r="L328" s="5">
        <f t="shared" si="27"/>
        <v>966.4</v>
      </c>
      <c r="M328" s="4">
        <v>24</v>
      </c>
      <c r="N328" s="5">
        <f t="shared" si="28"/>
        <v>480</v>
      </c>
      <c r="O328" s="5">
        <f t="shared" si="29"/>
        <v>486.4</v>
      </c>
      <c r="P328" s="2" t="s">
        <v>19</v>
      </c>
    </row>
    <row r="329" spans="1:16" x14ac:dyDescent="0.3">
      <c r="A329" s="2">
        <f t="shared" si="30"/>
        <v>20250328</v>
      </c>
      <c r="B329" s="25">
        <v>45677</v>
      </c>
      <c r="C329" s="2" t="s">
        <v>486</v>
      </c>
      <c r="D329" s="2" t="s">
        <v>16</v>
      </c>
      <c r="E329" s="20" t="s">
        <v>802</v>
      </c>
      <c r="F329" s="20" t="s">
        <v>326</v>
      </c>
      <c r="G329" s="2" t="s">
        <v>21</v>
      </c>
      <c r="H329" s="3">
        <v>6</v>
      </c>
      <c r="I329" s="4">
        <v>25.73</v>
      </c>
      <c r="J329" s="5">
        <f t="shared" si="26"/>
        <v>154.38</v>
      </c>
      <c r="K329" s="6">
        <v>0</v>
      </c>
      <c r="L329" s="5">
        <f t="shared" si="27"/>
        <v>154.38</v>
      </c>
      <c r="M329" s="4">
        <v>15</v>
      </c>
      <c r="N329" s="5">
        <f t="shared" si="28"/>
        <v>90</v>
      </c>
      <c r="O329" s="5">
        <f t="shared" si="29"/>
        <v>64.38</v>
      </c>
      <c r="P329" s="2" t="s">
        <v>19</v>
      </c>
    </row>
    <row r="330" spans="1:16" x14ac:dyDescent="0.3">
      <c r="A330" s="2">
        <f t="shared" si="30"/>
        <v>20250329</v>
      </c>
      <c r="B330" s="25">
        <v>45677</v>
      </c>
      <c r="C330" s="2" t="s">
        <v>486</v>
      </c>
      <c r="D330" s="2" t="s">
        <v>16</v>
      </c>
      <c r="E330" s="20" t="s">
        <v>803</v>
      </c>
      <c r="F330" s="20" t="s">
        <v>327</v>
      </c>
      <c r="G330" s="2" t="s">
        <v>32</v>
      </c>
      <c r="H330" s="3">
        <v>9</v>
      </c>
      <c r="I330" s="4">
        <v>20.29</v>
      </c>
      <c r="J330" s="5">
        <f t="shared" si="26"/>
        <v>182.60999999999999</v>
      </c>
      <c r="K330" s="6">
        <v>0</v>
      </c>
      <c r="L330" s="5">
        <f t="shared" si="27"/>
        <v>182.60999999999999</v>
      </c>
      <c r="M330" s="4">
        <v>9.5</v>
      </c>
      <c r="N330" s="5">
        <f t="shared" si="28"/>
        <v>85.5</v>
      </c>
      <c r="O330" s="5">
        <f t="shared" si="29"/>
        <v>97.109999999999985</v>
      </c>
      <c r="P330" s="2" t="s">
        <v>19</v>
      </c>
    </row>
    <row r="331" spans="1:16" x14ac:dyDescent="0.3">
      <c r="A331" s="2">
        <f t="shared" si="30"/>
        <v>20250330</v>
      </c>
      <c r="B331" s="25">
        <v>45677</v>
      </c>
      <c r="C331" s="2" t="s">
        <v>486</v>
      </c>
      <c r="D331" s="2" t="s">
        <v>16</v>
      </c>
      <c r="E331" s="20" t="s">
        <v>804</v>
      </c>
      <c r="F331" s="20" t="s">
        <v>328</v>
      </c>
      <c r="G331" s="2" t="s">
        <v>43</v>
      </c>
      <c r="H331" s="3">
        <v>13</v>
      </c>
      <c r="I331" s="4">
        <v>14.7</v>
      </c>
      <c r="J331" s="5">
        <f t="shared" si="26"/>
        <v>191.1</v>
      </c>
      <c r="K331" s="6">
        <v>7.0000000000000007E-2</v>
      </c>
      <c r="L331" s="5">
        <f t="shared" si="27"/>
        <v>177.72299999999998</v>
      </c>
      <c r="M331" s="4">
        <v>3</v>
      </c>
      <c r="N331" s="5">
        <f t="shared" si="28"/>
        <v>39</v>
      </c>
      <c r="O331" s="5">
        <f t="shared" si="29"/>
        <v>138.72299999999998</v>
      </c>
      <c r="P331" s="2" t="s">
        <v>19</v>
      </c>
    </row>
    <row r="332" spans="1:16" x14ac:dyDescent="0.3">
      <c r="A332" s="2">
        <f t="shared" si="30"/>
        <v>20250331</v>
      </c>
      <c r="B332" s="25">
        <v>45677</v>
      </c>
      <c r="C332" s="2" t="s">
        <v>486</v>
      </c>
      <c r="D332" s="2" t="s">
        <v>16</v>
      </c>
      <c r="E332" s="20" t="s">
        <v>805</v>
      </c>
      <c r="F332" s="20" t="s">
        <v>329</v>
      </c>
      <c r="G332" s="2" t="s">
        <v>27</v>
      </c>
      <c r="H332" s="3">
        <v>3</v>
      </c>
      <c r="I332" s="4">
        <v>55.62</v>
      </c>
      <c r="J332" s="5">
        <f t="shared" si="26"/>
        <v>166.85999999999999</v>
      </c>
      <c r="K332" s="6">
        <v>0</v>
      </c>
      <c r="L332" s="5">
        <f t="shared" si="27"/>
        <v>166.85999999999999</v>
      </c>
      <c r="M332" s="4">
        <v>24</v>
      </c>
      <c r="N332" s="5">
        <f t="shared" si="28"/>
        <v>72</v>
      </c>
      <c r="O332" s="5">
        <f t="shared" si="29"/>
        <v>94.859999999999985</v>
      </c>
      <c r="P332" s="2" t="s">
        <v>19</v>
      </c>
    </row>
    <row r="333" spans="1:16" x14ac:dyDescent="0.3">
      <c r="A333" s="2">
        <f t="shared" si="30"/>
        <v>20250332</v>
      </c>
      <c r="B333" s="25">
        <v>45677</v>
      </c>
      <c r="C333" s="2" t="s">
        <v>486</v>
      </c>
      <c r="D333" s="2" t="s">
        <v>16</v>
      </c>
      <c r="E333" s="20" t="s">
        <v>806</v>
      </c>
      <c r="F333" s="20" t="s">
        <v>330</v>
      </c>
      <c r="G333" s="2" t="s">
        <v>21</v>
      </c>
      <c r="H333" s="3">
        <v>13</v>
      </c>
      <c r="I333" s="4">
        <v>24.23</v>
      </c>
      <c r="J333" s="5">
        <f t="shared" si="26"/>
        <v>314.99</v>
      </c>
      <c r="K333" s="6">
        <v>0</v>
      </c>
      <c r="L333" s="5">
        <f t="shared" si="27"/>
        <v>314.99</v>
      </c>
      <c r="M333" s="4">
        <v>15</v>
      </c>
      <c r="N333" s="5">
        <f t="shared" si="28"/>
        <v>195</v>
      </c>
      <c r="O333" s="5">
        <f t="shared" si="29"/>
        <v>119.99000000000001</v>
      </c>
      <c r="P333" s="2" t="s">
        <v>19</v>
      </c>
    </row>
    <row r="334" spans="1:16" x14ac:dyDescent="0.3">
      <c r="A334" s="2">
        <f t="shared" si="30"/>
        <v>20250333</v>
      </c>
      <c r="B334" s="25">
        <v>45677</v>
      </c>
      <c r="C334" s="2" t="s">
        <v>486</v>
      </c>
      <c r="D334" s="2" t="s">
        <v>28</v>
      </c>
      <c r="E334" s="20" t="s">
        <v>807</v>
      </c>
      <c r="F334" s="20" t="s">
        <v>331</v>
      </c>
      <c r="G334" s="2" t="s">
        <v>18</v>
      </c>
      <c r="H334" s="3">
        <v>14</v>
      </c>
      <c r="I334" s="4">
        <v>10.11</v>
      </c>
      <c r="J334" s="5">
        <f t="shared" si="26"/>
        <v>141.54</v>
      </c>
      <c r="K334" s="6">
        <v>0.08</v>
      </c>
      <c r="L334" s="5">
        <f t="shared" si="27"/>
        <v>130.21680000000001</v>
      </c>
      <c r="M334" s="4">
        <v>1</v>
      </c>
      <c r="N334" s="5">
        <f t="shared" si="28"/>
        <v>14</v>
      </c>
      <c r="O334" s="5">
        <f t="shared" si="29"/>
        <v>116.21680000000001</v>
      </c>
      <c r="P334" s="2" t="s">
        <v>19</v>
      </c>
    </row>
    <row r="335" spans="1:16" x14ac:dyDescent="0.3">
      <c r="A335" s="2">
        <f t="shared" si="30"/>
        <v>20250334</v>
      </c>
      <c r="B335" s="25">
        <v>45677</v>
      </c>
      <c r="C335" s="2" t="s">
        <v>486</v>
      </c>
      <c r="D335" s="2" t="s">
        <v>16</v>
      </c>
      <c r="E335" s="20" t="s">
        <v>808</v>
      </c>
      <c r="F335" s="20" t="s">
        <v>332</v>
      </c>
      <c r="G335" s="2" t="s">
        <v>21</v>
      </c>
      <c r="H335" s="3">
        <v>7</v>
      </c>
      <c r="I335" s="4">
        <v>30.56</v>
      </c>
      <c r="J335" s="5">
        <f t="shared" si="26"/>
        <v>213.92</v>
      </c>
      <c r="K335" s="6">
        <v>0.02</v>
      </c>
      <c r="L335" s="5">
        <f t="shared" si="27"/>
        <v>209.64159999999998</v>
      </c>
      <c r="M335" s="4">
        <v>15</v>
      </c>
      <c r="N335" s="5">
        <f t="shared" si="28"/>
        <v>105</v>
      </c>
      <c r="O335" s="5">
        <f t="shared" si="29"/>
        <v>104.64159999999998</v>
      </c>
      <c r="P335" s="2" t="s">
        <v>19</v>
      </c>
    </row>
    <row r="336" spans="1:16" x14ac:dyDescent="0.3">
      <c r="A336" s="2">
        <f t="shared" si="30"/>
        <v>20250335</v>
      </c>
      <c r="B336" s="25">
        <v>45678</v>
      </c>
      <c r="C336" s="2" t="s">
        <v>486</v>
      </c>
      <c r="D336" s="2" t="s">
        <v>28</v>
      </c>
      <c r="E336" s="20" t="s">
        <v>809</v>
      </c>
      <c r="F336" s="20" t="s">
        <v>333</v>
      </c>
      <c r="G336" s="2" t="s">
        <v>21</v>
      </c>
      <c r="H336" s="3">
        <v>16</v>
      </c>
      <c r="I336" s="4">
        <v>24.97</v>
      </c>
      <c r="J336" s="5">
        <f t="shared" si="26"/>
        <v>399.52</v>
      </c>
      <c r="K336" s="6">
        <v>0.12</v>
      </c>
      <c r="L336" s="5">
        <f t="shared" si="27"/>
        <v>351.57759999999996</v>
      </c>
      <c r="M336" s="4">
        <v>15</v>
      </c>
      <c r="N336" s="5">
        <f t="shared" si="28"/>
        <v>240</v>
      </c>
      <c r="O336" s="5">
        <f t="shared" si="29"/>
        <v>111.57759999999996</v>
      </c>
      <c r="P336" s="2" t="s">
        <v>19</v>
      </c>
    </row>
    <row r="337" spans="1:16" x14ac:dyDescent="0.3">
      <c r="A337" s="2">
        <f t="shared" si="30"/>
        <v>20250336</v>
      </c>
      <c r="B337" s="25">
        <v>45678</v>
      </c>
      <c r="C337" s="2" t="s">
        <v>486</v>
      </c>
      <c r="D337" s="2" t="s">
        <v>28</v>
      </c>
      <c r="E337" s="20" t="s">
        <v>810</v>
      </c>
      <c r="F337" s="20" t="s">
        <v>334</v>
      </c>
      <c r="G337" s="2" t="s">
        <v>27</v>
      </c>
      <c r="H337" s="3">
        <v>13</v>
      </c>
      <c r="I337" s="4">
        <v>43.03</v>
      </c>
      <c r="J337" s="5">
        <f t="shared" si="26"/>
        <v>559.39</v>
      </c>
      <c r="K337" s="6">
        <v>0.1</v>
      </c>
      <c r="L337" s="5">
        <f t="shared" si="27"/>
        <v>503.45100000000002</v>
      </c>
      <c r="M337" s="4">
        <v>24</v>
      </c>
      <c r="N337" s="5">
        <f t="shared" si="28"/>
        <v>312</v>
      </c>
      <c r="O337" s="5">
        <f t="shared" si="29"/>
        <v>191.45100000000002</v>
      </c>
      <c r="P337" s="2" t="s">
        <v>19</v>
      </c>
    </row>
    <row r="338" spans="1:16" x14ac:dyDescent="0.3">
      <c r="A338" s="2">
        <f t="shared" si="30"/>
        <v>20250337</v>
      </c>
      <c r="B338" s="25">
        <v>45678</v>
      </c>
      <c r="C338" s="2" t="s">
        <v>486</v>
      </c>
      <c r="D338" s="2" t="s">
        <v>28</v>
      </c>
      <c r="E338" s="20" t="s">
        <v>966</v>
      </c>
      <c r="F338" s="20" t="s">
        <v>335</v>
      </c>
      <c r="G338" s="2" t="s">
        <v>18</v>
      </c>
      <c r="H338" s="3">
        <v>94</v>
      </c>
      <c r="I338" s="4">
        <v>8.2100000000000009</v>
      </c>
      <c r="J338" s="5">
        <f t="shared" si="26"/>
        <v>771.74000000000012</v>
      </c>
      <c r="K338" s="6">
        <v>0.15</v>
      </c>
      <c r="L338" s="5">
        <f t="shared" si="27"/>
        <v>655.97900000000004</v>
      </c>
      <c r="M338" s="4">
        <v>1</v>
      </c>
      <c r="N338" s="5">
        <f t="shared" si="28"/>
        <v>94</v>
      </c>
      <c r="O338" s="5">
        <f t="shared" si="29"/>
        <v>561.97900000000004</v>
      </c>
      <c r="P338" s="2" t="s">
        <v>19</v>
      </c>
    </row>
    <row r="339" spans="1:16" x14ac:dyDescent="0.3">
      <c r="A339" s="2">
        <f t="shared" si="30"/>
        <v>20250338</v>
      </c>
      <c r="B339" s="25">
        <v>45678</v>
      </c>
      <c r="C339" s="2" t="s">
        <v>486</v>
      </c>
      <c r="D339" s="2" t="s">
        <v>16</v>
      </c>
      <c r="E339" s="20" t="s">
        <v>811</v>
      </c>
      <c r="F339" s="20" t="s">
        <v>967</v>
      </c>
      <c r="G339" s="2" t="s">
        <v>18</v>
      </c>
      <c r="H339" s="3">
        <v>9</v>
      </c>
      <c r="I339" s="4">
        <v>8.52</v>
      </c>
      <c r="J339" s="5">
        <f t="shared" si="26"/>
        <v>76.679999999999993</v>
      </c>
      <c r="K339" s="6">
        <v>0.02</v>
      </c>
      <c r="L339" s="5">
        <f t="shared" si="27"/>
        <v>0</v>
      </c>
      <c r="M339" s="4">
        <v>1</v>
      </c>
      <c r="N339" s="5">
        <f t="shared" si="28"/>
        <v>0</v>
      </c>
      <c r="O339" s="5">
        <f t="shared" si="29"/>
        <v>0</v>
      </c>
      <c r="P339" s="2" t="s">
        <v>22</v>
      </c>
    </row>
    <row r="340" spans="1:16" x14ac:dyDescent="0.3">
      <c r="A340" s="2">
        <f t="shared" si="30"/>
        <v>20250339</v>
      </c>
      <c r="B340" s="25">
        <v>45678</v>
      </c>
      <c r="C340" s="2" t="s">
        <v>486</v>
      </c>
      <c r="D340" s="2" t="s">
        <v>16</v>
      </c>
      <c r="E340" s="20" t="s">
        <v>812</v>
      </c>
      <c r="F340" s="20" t="s">
        <v>336</v>
      </c>
      <c r="G340" s="2" t="s">
        <v>21</v>
      </c>
      <c r="H340" s="3">
        <v>22</v>
      </c>
      <c r="I340" s="4">
        <v>33.04</v>
      </c>
      <c r="J340" s="5">
        <f t="shared" si="26"/>
        <v>726.88</v>
      </c>
      <c r="K340" s="6">
        <v>0.03</v>
      </c>
      <c r="L340" s="5">
        <f t="shared" si="27"/>
        <v>705.07359999999994</v>
      </c>
      <c r="M340" s="4">
        <v>15</v>
      </c>
      <c r="N340" s="5">
        <f t="shared" si="28"/>
        <v>330</v>
      </c>
      <c r="O340" s="5">
        <f t="shared" si="29"/>
        <v>375.07359999999994</v>
      </c>
      <c r="P340" s="2" t="s">
        <v>19</v>
      </c>
    </row>
    <row r="341" spans="1:16" x14ac:dyDescent="0.3">
      <c r="A341" s="2">
        <f t="shared" si="30"/>
        <v>20250340</v>
      </c>
      <c r="B341" s="25">
        <v>45678</v>
      </c>
      <c r="C341" s="2" t="s">
        <v>486</v>
      </c>
      <c r="D341" s="2" t="s">
        <v>28</v>
      </c>
      <c r="E341" s="20" t="s">
        <v>813</v>
      </c>
      <c r="F341" s="20" t="s">
        <v>337</v>
      </c>
      <c r="G341" s="2" t="s">
        <v>43</v>
      </c>
      <c r="H341" s="3">
        <v>19</v>
      </c>
      <c r="I341" s="4">
        <v>14.27</v>
      </c>
      <c r="J341" s="5">
        <f t="shared" si="26"/>
        <v>271.13</v>
      </c>
      <c r="K341" s="6">
        <v>0.12</v>
      </c>
      <c r="L341" s="5">
        <f t="shared" si="27"/>
        <v>238.59440000000001</v>
      </c>
      <c r="M341" s="4">
        <v>3</v>
      </c>
      <c r="N341" s="5">
        <f t="shared" si="28"/>
        <v>57</v>
      </c>
      <c r="O341" s="5">
        <f t="shared" si="29"/>
        <v>181.59440000000001</v>
      </c>
      <c r="P341" s="2" t="s">
        <v>19</v>
      </c>
    </row>
    <row r="342" spans="1:16" x14ac:dyDescent="0.3">
      <c r="A342" s="2">
        <f t="shared" si="30"/>
        <v>20250341</v>
      </c>
      <c r="B342" s="25">
        <v>45678</v>
      </c>
      <c r="C342" s="2" t="s">
        <v>486</v>
      </c>
      <c r="D342" s="2" t="s">
        <v>28</v>
      </c>
      <c r="E342" s="20" t="s">
        <v>814</v>
      </c>
      <c r="F342" s="20" t="s">
        <v>338</v>
      </c>
      <c r="G342" s="2" t="s">
        <v>21</v>
      </c>
      <c r="H342" s="3">
        <v>25</v>
      </c>
      <c r="I342" s="4">
        <v>26.17</v>
      </c>
      <c r="J342" s="5">
        <f t="shared" si="26"/>
        <v>654.25</v>
      </c>
      <c r="K342" s="6">
        <v>0.08</v>
      </c>
      <c r="L342" s="5">
        <f t="shared" si="27"/>
        <v>0</v>
      </c>
      <c r="M342" s="4">
        <v>15</v>
      </c>
      <c r="N342" s="5">
        <f t="shared" si="28"/>
        <v>0</v>
      </c>
      <c r="O342" s="5">
        <f t="shared" si="29"/>
        <v>0</v>
      </c>
      <c r="P342" s="2" t="s">
        <v>22</v>
      </c>
    </row>
    <row r="343" spans="1:16" x14ac:dyDescent="0.3">
      <c r="A343" s="2">
        <f t="shared" si="30"/>
        <v>20250342</v>
      </c>
      <c r="B343" s="25">
        <v>45678</v>
      </c>
      <c r="C343" s="2" t="s">
        <v>486</v>
      </c>
      <c r="D343" s="2" t="s">
        <v>28</v>
      </c>
      <c r="E343" s="20" t="s">
        <v>815</v>
      </c>
      <c r="F343" s="20" t="s">
        <v>339</v>
      </c>
      <c r="G343" s="2" t="s">
        <v>21</v>
      </c>
      <c r="H343" s="3">
        <v>35</v>
      </c>
      <c r="I343" s="4">
        <v>29.94</v>
      </c>
      <c r="J343" s="5">
        <f t="shared" si="26"/>
        <v>1047.9000000000001</v>
      </c>
      <c r="K343" s="6">
        <v>0.08</v>
      </c>
      <c r="L343" s="5">
        <f t="shared" si="27"/>
        <v>964.0680000000001</v>
      </c>
      <c r="M343" s="4">
        <v>15</v>
      </c>
      <c r="N343" s="5">
        <f t="shared" si="28"/>
        <v>525</v>
      </c>
      <c r="O343" s="5">
        <f t="shared" si="29"/>
        <v>439.0680000000001</v>
      </c>
      <c r="P343" s="2" t="s">
        <v>19</v>
      </c>
    </row>
    <row r="344" spans="1:16" x14ac:dyDescent="0.3">
      <c r="A344" s="2">
        <f t="shared" si="30"/>
        <v>20250343</v>
      </c>
      <c r="B344" s="25">
        <v>45678</v>
      </c>
      <c r="C344" s="2" t="s">
        <v>486</v>
      </c>
      <c r="D344" s="2" t="s">
        <v>16</v>
      </c>
      <c r="E344" s="20" t="s">
        <v>816</v>
      </c>
      <c r="F344" s="20" t="s">
        <v>340</v>
      </c>
      <c r="G344" s="2" t="s">
        <v>21</v>
      </c>
      <c r="H344" s="3">
        <v>18</v>
      </c>
      <c r="I344" s="4">
        <v>27.41</v>
      </c>
      <c r="J344" s="5">
        <f t="shared" si="26"/>
        <v>493.38</v>
      </c>
      <c r="K344" s="6">
        <v>0.05</v>
      </c>
      <c r="L344" s="5">
        <f t="shared" si="27"/>
        <v>468.71099999999996</v>
      </c>
      <c r="M344" s="4">
        <v>15</v>
      </c>
      <c r="N344" s="5">
        <f t="shared" si="28"/>
        <v>270</v>
      </c>
      <c r="O344" s="5">
        <f t="shared" si="29"/>
        <v>198.71099999999996</v>
      </c>
      <c r="P344" s="2" t="s">
        <v>19</v>
      </c>
    </row>
    <row r="345" spans="1:16" x14ac:dyDescent="0.3">
      <c r="A345" s="2">
        <f t="shared" si="30"/>
        <v>20250344</v>
      </c>
      <c r="B345" s="25">
        <v>45678</v>
      </c>
      <c r="C345" s="2" t="s">
        <v>486</v>
      </c>
      <c r="D345" s="2" t="s">
        <v>28</v>
      </c>
      <c r="E345" s="20" t="s">
        <v>817</v>
      </c>
      <c r="F345" s="20" t="s">
        <v>341</v>
      </c>
      <c r="G345" s="2" t="s">
        <v>21</v>
      </c>
      <c r="H345" s="3">
        <v>14</v>
      </c>
      <c r="I345" s="4">
        <v>26.49</v>
      </c>
      <c r="J345" s="5">
        <f t="shared" si="26"/>
        <v>370.85999999999996</v>
      </c>
      <c r="K345" s="6">
        <v>0.15</v>
      </c>
      <c r="L345" s="5">
        <f t="shared" si="27"/>
        <v>315.23099999999994</v>
      </c>
      <c r="M345" s="4">
        <v>15</v>
      </c>
      <c r="N345" s="5">
        <f t="shared" si="28"/>
        <v>210</v>
      </c>
      <c r="O345" s="5">
        <f t="shared" si="29"/>
        <v>105.23099999999994</v>
      </c>
      <c r="P345" s="2" t="s">
        <v>19</v>
      </c>
    </row>
    <row r="346" spans="1:16" x14ac:dyDescent="0.3">
      <c r="A346" s="2">
        <f t="shared" si="30"/>
        <v>20250345</v>
      </c>
      <c r="B346" s="25">
        <v>45678</v>
      </c>
      <c r="C346" s="2" t="s">
        <v>486</v>
      </c>
      <c r="D346" s="2" t="s">
        <v>28</v>
      </c>
      <c r="E346" s="20" t="s">
        <v>818</v>
      </c>
      <c r="F346" s="20" t="s">
        <v>342</v>
      </c>
      <c r="G346" s="2" t="s">
        <v>21</v>
      </c>
      <c r="H346" s="3">
        <v>18</v>
      </c>
      <c r="I346" s="4">
        <v>29.95</v>
      </c>
      <c r="J346" s="5">
        <f t="shared" si="26"/>
        <v>539.1</v>
      </c>
      <c r="K346" s="6">
        <v>0.12</v>
      </c>
      <c r="L346" s="5">
        <f t="shared" si="27"/>
        <v>474.40800000000002</v>
      </c>
      <c r="M346" s="4">
        <v>15</v>
      </c>
      <c r="N346" s="5">
        <f t="shared" si="28"/>
        <v>270</v>
      </c>
      <c r="O346" s="5">
        <f t="shared" si="29"/>
        <v>204.40800000000002</v>
      </c>
      <c r="P346" s="2" t="s">
        <v>19</v>
      </c>
    </row>
    <row r="347" spans="1:16" x14ac:dyDescent="0.3">
      <c r="A347" s="2">
        <f t="shared" si="30"/>
        <v>20250346</v>
      </c>
      <c r="B347" s="25">
        <v>45678</v>
      </c>
      <c r="C347" s="2" t="s">
        <v>486</v>
      </c>
      <c r="D347" s="2" t="s">
        <v>28</v>
      </c>
      <c r="E347" s="20" t="s">
        <v>819</v>
      </c>
      <c r="F347" s="20" t="s">
        <v>343</v>
      </c>
      <c r="G347" s="2" t="s">
        <v>27</v>
      </c>
      <c r="H347" s="3">
        <v>6</v>
      </c>
      <c r="I347" s="4">
        <v>42.1</v>
      </c>
      <c r="J347" s="5">
        <f t="shared" si="26"/>
        <v>252.60000000000002</v>
      </c>
      <c r="K347" s="6">
        <v>0.08</v>
      </c>
      <c r="L347" s="5">
        <f t="shared" si="27"/>
        <v>232.39200000000002</v>
      </c>
      <c r="M347" s="4">
        <v>24</v>
      </c>
      <c r="N347" s="5">
        <f t="shared" si="28"/>
        <v>144</v>
      </c>
      <c r="O347" s="5">
        <f t="shared" si="29"/>
        <v>88.392000000000024</v>
      </c>
      <c r="P347" s="2" t="s">
        <v>19</v>
      </c>
    </row>
    <row r="348" spans="1:16" x14ac:dyDescent="0.3">
      <c r="A348" s="2">
        <f t="shared" si="30"/>
        <v>20250347</v>
      </c>
      <c r="B348" s="25">
        <v>45678</v>
      </c>
      <c r="C348" s="2" t="s">
        <v>486</v>
      </c>
      <c r="D348" s="2" t="s">
        <v>16</v>
      </c>
      <c r="E348" s="20" t="s">
        <v>820</v>
      </c>
      <c r="F348" s="20" t="s">
        <v>344</v>
      </c>
      <c r="G348" s="2" t="s">
        <v>43</v>
      </c>
      <c r="H348" s="3">
        <v>23</v>
      </c>
      <c r="I348" s="4">
        <v>15.47</v>
      </c>
      <c r="J348" s="5">
        <f t="shared" si="26"/>
        <v>355.81</v>
      </c>
      <c r="K348" s="6">
        <v>7.0000000000000007E-2</v>
      </c>
      <c r="L348" s="5">
        <f t="shared" si="27"/>
        <v>330.9033</v>
      </c>
      <c r="M348" s="4">
        <v>3</v>
      </c>
      <c r="N348" s="5">
        <f t="shared" si="28"/>
        <v>69</v>
      </c>
      <c r="O348" s="5">
        <f t="shared" si="29"/>
        <v>261.9033</v>
      </c>
      <c r="P348" s="2" t="s">
        <v>19</v>
      </c>
    </row>
    <row r="349" spans="1:16" x14ac:dyDescent="0.3">
      <c r="A349" s="2">
        <f t="shared" si="30"/>
        <v>20250348</v>
      </c>
      <c r="B349" s="25">
        <v>45678</v>
      </c>
      <c r="C349" s="2" t="s">
        <v>486</v>
      </c>
      <c r="D349" s="2" t="s">
        <v>24</v>
      </c>
      <c r="E349" s="20" t="s">
        <v>821</v>
      </c>
      <c r="F349" s="20" t="s">
        <v>345</v>
      </c>
      <c r="G349" s="2" t="s">
        <v>18</v>
      </c>
      <c r="H349" s="3">
        <v>16</v>
      </c>
      <c r="I349" s="4">
        <v>10.29</v>
      </c>
      <c r="J349" s="5">
        <f t="shared" si="26"/>
        <v>164.64</v>
      </c>
      <c r="K349" s="6">
        <v>0</v>
      </c>
      <c r="L349" s="5">
        <f t="shared" si="27"/>
        <v>0</v>
      </c>
      <c r="M349" s="4">
        <v>1</v>
      </c>
      <c r="N349" s="5">
        <f t="shared" si="28"/>
        <v>0</v>
      </c>
      <c r="O349" s="5">
        <f t="shared" si="29"/>
        <v>0</v>
      </c>
      <c r="P349" s="2" t="s">
        <v>22</v>
      </c>
    </row>
    <row r="350" spans="1:16" x14ac:dyDescent="0.3">
      <c r="A350" s="2">
        <f t="shared" si="30"/>
        <v>20250349</v>
      </c>
      <c r="B350" s="25">
        <v>45678</v>
      </c>
      <c r="C350" s="2" t="s">
        <v>486</v>
      </c>
      <c r="D350" s="2" t="s">
        <v>24</v>
      </c>
      <c r="E350" s="20" t="s">
        <v>822</v>
      </c>
      <c r="F350" s="20" t="s">
        <v>346</v>
      </c>
      <c r="G350" s="2" t="s">
        <v>43</v>
      </c>
      <c r="H350" s="3">
        <v>20</v>
      </c>
      <c r="I350" s="4">
        <v>13.64</v>
      </c>
      <c r="J350" s="5">
        <f t="shared" si="26"/>
        <v>272.8</v>
      </c>
      <c r="K350" s="6">
        <v>0.03</v>
      </c>
      <c r="L350" s="5">
        <f t="shared" si="27"/>
        <v>264.61599999999999</v>
      </c>
      <c r="M350" s="4">
        <v>3</v>
      </c>
      <c r="N350" s="5">
        <f t="shared" si="28"/>
        <v>60</v>
      </c>
      <c r="O350" s="5">
        <f t="shared" si="29"/>
        <v>204.61599999999999</v>
      </c>
      <c r="P350" s="2" t="s">
        <v>19</v>
      </c>
    </row>
    <row r="351" spans="1:16" x14ac:dyDescent="0.3">
      <c r="A351" s="2">
        <f t="shared" si="30"/>
        <v>20250350</v>
      </c>
      <c r="B351" s="25">
        <v>45678</v>
      </c>
      <c r="C351" s="2" t="s">
        <v>486</v>
      </c>
      <c r="D351" s="2" t="s">
        <v>28</v>
      </c>
      <c r="E351" s="20" t="s">
        <v>823</v>
      </c>
      <c r="F351" s="20" t="s">
        <v>347</v>
      </c>
      <c r="G351" s="2" t="s">
        <v>43</v>
      </c>
      <c r="H351" s="3">
        <v>75</v>
      </c>
      <c r="I351" s="4">
        <v>13.03</v>
      </c>
      <c r="J351" s="5">
        <f t="shared" si="26"/>
        <v>977.25</v>
      </c>
      <c r="K351" s="6">
        <v>0.05</v>
      </c>
      <c r="L351" s="5">
        <f t="shared" si="27"/>
        <v>928.38749999999993</v>
      </c>
      <c r="M351" s="4">
        <v>3</v>
      </c>
      <c r="N351" s="5">
        <f t="shared" si="28"/>
        <v>225</v>
      </c>
      <c r="O351" s="5">
        <f t="shared" si="29"/>
        <v>703.38749999999993</v>
      </c>
      <c r="P351" s="2" t="s">
        <v>19</v>
      </c>
    </row>
    <row r="352" spans="1:16" x14ac:dyDescent="0.3">
      <c r="A352" s="2">
        <f t="shared" si="30"/>
        <v>20250351</v>
      </c>
      <c r="B352" s="25">
        <v>45678</v>
      </c>
      <c r="C352" s="2" t="s">
        <v>486</v>
      </c>
      <c r="D352" s="2" t="s">
        <v>28</v>
      </c>
      <c r="E352" s="20" t="s">
        <v>968</v>
      </c>
      <c r="F352" s="20" t="s">
        <v>348</v>
      </c>
      <c r="G352" s="2" t="s">
        <v>32</v>
      </c>
      <c r="H352" s="3">
        <v>7</v>
      </c>
      <c r="I352" s="4">
        <v>20.69</v>
      </c>
      <c r="J352" s="5">
        <f t="shared" si="26"/>
        <v>144.83000000000001</v>
      </c>
      <c r="K352" s="6">
        <v>0.08</v>
      </c>
      <c r="L352" s="5">
        <f t="shared" si="27"/>
        <v>133.24360000000001</v>
      </c>
      <c r="M352" s="4">
        <v>9.5</v>
      </c>
      <c r="N352" s="5">
        <f t="shared" si="28"/>
        <v>66.5</v>
      </c>
      <c r="O352" s="5">
        <f t="shared" si="29"/>
        <v>66.743600000000015</v>
      </c>
      <c r="P352" s="2" t="s">
        <v>19</v>
      </c>
    </row>
    <row r="353" spans="1:16" x14ac:dyDescent="0.3">
      <c r="A353" s="2">
        <f t="shared" si="30"/>
        <v>20250352</v>
      </c>
      <c r="B353" s="25">
        <v>45679</v>
      </c>
      <c r="C353" s="2" t="s">
        <v>486</v>
      </c>
      <c r="D353" s="2" t="s">
        <v>24</v>
      </c>
      <c r="E353" s="20" t="s">
        <v>824</v>
      </c>
      <c r="F353" s="20" t="s">
        <v>349</v>
      </c>
      <c r="G353" s="2" t="s">
        <v>21</v>
      </c>
      <c r="H353" s="3">
        <v>12</v>
      </c>
      <c r="I353" s="4">
        <v>31.18</v>
      </c>
      <c r="J353" s="5">
        <f t="shared" si="26"/>
        <v>374.15999999999997</v>
      </c>
      <c r="K353" s="6">
        <v>7.0000000000000007E-2</v>
      </c>
      <c r="L353" s="5">
        <f t="shared" si="27"/>
        <v>347.96879999999993</v>
      </c>
      <c r="M353" s="4">
        <v>15</v>
      </c>
      <c r="N353" s="5">
        <f t="shared" si="28"/>
        <v>180</v>
      </c>
      <c r="O353" s="5">
        <f t="shared" si="29"/>
        <v>167.96879999999993</v>
      </c>
      <c r="P353" s="2" t="s">
        <v>19</v>
      </c>
    </row>
    <row r="354" spans="1:16" x14ac:dyDescent="0.3">
      <c r="A354" s="2">
        <f t="shared" si="30"/>
        <v>20250353</v>
      </c>
      <c r="B354" s="25">
        <v>45679</v>
      </c>
      <c r="C354" s="2" t="s">
        <v>486</v>
      </c>
      <c r="D354" s="2" t="s">
        <v>28</v>
      </c>
      <c r="E354" s="20" t="s">
        <v>969</v>
      </c>
      <c r="F354" s="20" t="s">
        <v>350</v>
      </c>
      <c r="G354" s="2" t="s">
        <v>18</v>
      </c>
      <c r="H354" s="3">
        <v>70</v>
      </c>
      <c r="I354" s="4">
        <v>8.69</v>
      </c>
      <c r="J354" s="5">
        <f t="shared" si="26"/>
        <v>608.29999999999995</v>
      </c>
      <c r="K354" s="6">
        <v>0.1</v>
      </c>
      <c r="L354" s="5">
        <f t="shared" si="27"/>
        <v>547.47</v>
      </c>
      <c r="M354" s="4">
        <v>1</v>
      </c>
      <c r="N354" s="5">
        <f t="shared" si="28"/>
        <v>70</v>
      </c>
      <c r="O354" s="5">
        <f t="shared" si="29"/>
        <v>477.47</v>
      </c>
      <c r="P354" s="2" t="s">
        <v>19</v>
      </c>
    </row>
    <row r="355" spans="1:16" x14ac:dyDescent="0.3">
      <c r="A355" s="2">
        <f t="shared" si="30"/>
        <v>20250354</v>
      </c>
      <c r="B355" s="25">
        <v>45679</v>
      </c>
      <c r="C355" s="2" t="s">
        <v>486</v>
      </c>
      <c r="D355" s="2" t="s">
        <v>24</v>
      </c>
      <c r="E355" s="20" t="s">
        <v>825</v>
      </c>
      <c r="F355" s="20" t="s">
        <v>351</v>
      </c>
      <c r="G355" s="2" t="s">
        <v>21</v>
      </c>
      <c r="H355" s="3">
        <v>2</v>
      </c>
      <c r="I355" s="4">
        <v>28.82</v>
      </c>
      <c r="J355" s="5">
        <f t="shared" si="26"/>
        <v>57.64</v>
      </c>
      <c r="K355" s="6">
        <v>0.03</v>
      </c>
      <c r="L355" s="5">
        <f t="shared" si="27"/>
        <v>0</v>
      </c>
      <c r="M355" s="4">
        <v>15</v>
      </c>
      <c r="N355" s="5">
        <f t="shared" si="28"/>
        <v>0</v>
      </c>
      <c r="O355" s="5">
        <f t="shared" si="29"/>
        <v>0</v>
      </c>
      <c r="P355" s="2" t="s">
        <v>22</v>
      </c>
    </row>
    <row r="356" spans="1:16" x14ac:dyDescent="0.3">
      <c r="A356" s="2">
        <f t="shared" si="30"/>
        <v>20250355</v>
      </c>
      <c r="B356" s="25">
        <v>45679</v>
      </c>
      <c r="C356" s="2" t="s">
        <v>486</v>
      </c>
      <c r="D356" s="2" t="s">
        <v>24</v>
      </c>
      <c r="E356" s="20" t="s">
        <v>506</v>
      </c>
      <c r="F356" s="20" t="s">
        <v>352</v>
      </c>
      <c r="G356" s="2" t="s">
        <v>32</v>
      </c>
      <c r="H356" s="3">
        <v>25</v>
      </c>
      <c r="I356" s="4">
        <v>21.26</v>
      </c>
      <c r="J356" s="5">
        <f t="shared" si="26"/>
        <v>531.5</v>
      </c>
      <c r="K356" s="6">
        <v>0</v>
      </c>
      <c r="L356" s="5">
        <f t="shared" si="27"/>
        <v>531.5</v>
      </c>
      <c r="M356" s="4">
        <v>9.5</v>
      </c>
      <c r="N356" s="5">
        <f t="shared" si="28"/>
        <v>237.5</v>
      </c>
      <c r="O356" s="5">
        <f t="shared" si="29"/>
        <v>294</v>
      </c>
      <c r="P356" s="2" t="s">
        <v>19</v>
      </c>
    </row>
    <row r="357" spans="1:16" x14ac:dyDescent="0.3">
      <c r="A357" s="2">
        <f t="shared" si="30"/>
        <v>20250356</v>
      </c>
      <c r="B357" s="25">
        <v>45679</v>
      </c>
      <c r="C357" s="2" t="s">
        <v>486</v>
      </c>
      <c r="D357" s="2" t="s">
        <v>28</v>
      </c>
      <c r="E357" s="20" t="s">
        <v>826</v>
      </c>
      <c r="F357" s="20" t="s">
        <v>353</v>
      </c>
      <c r="G357" s="2" t="s">
        <v>32</v>
      </c>
      <c r="H357" s="3">
        <v>9</v>
      </c>
      <c r="I357" s="4">
        <v>22.22</v>
      </c>
      <c r="J357" s="5">
        <f t="shared" si="26"/>
        <v>199.98</v>
      </c>
      <c r="K357" s="6">
        <v>0.1</v>
      </c>
      <c r="L357" s="5">
        <f t="shared" si="27"/>
        <v>179.982</v>
      </c>
      <c r="M357" s="4">
        <v>9.5</v>
      </c>
      <c r="N357" s="5">
        <f t="shared" si="28"/>
        <v>85.5</v>
      </c>
      <c r="O357" s="5">
        <f t="shared" si="29"/>
        <v>94.481999999999999</v>
      </c>
      <c r="P357" s="2" t="s">
        <v>19</v>
      </c>
    </row>
    <row r="358" spans="1:16" x14ac:dyDescent="0.3">
      <c r="A358" s="2">
        <f t="shared" si="30"/>
        <v>20250357</v>
      </c>
      <c r="B358" s="25">
        <v>45679</v>
      </c>
      <c r="C358" s="2" t="s">
        <v>486</v>
      </c>
      <c r="D358" s="2" t="s">
        <v>28</v>
      </c>
      <c r="E358" s="20" t="s">
        <v>827</v>
      </c>
      <c r="F358" s="20" t="s">
        <v>354</v>
      </c>
      <c r="G358" s="2" t="s">
        <v>18</v>
      </c>
      <c r="H358" s="3">
        <v>69</v>
      </c>
      <c r="I358" s="4">
        <v>7.74</v>
      </c>
      <c r="J358" s="5">
        <f t="shared" si="26"/>
        <v>534.06000000000006</v>
      </c>
      <c r="K358" s="6">
        <v>0.15</v>
      </c>
      <c r="L358" s="5">
        <f t="shared" si="27"/>
        <v>453.95100000000002</v>
      </c>
      <c r="M358" s="4">
        <v>1</v>
      </c>
      <c r="N358" s="5">
        <f t="shared" si="28"/>
        <v>69</v>
      </c>
      <c r="O358" s="5">
        <f t="shared" si="29"/>
        <v>384.95100000000002</v>
      </c>
      <c r="P358" s="2" t="s">
        <v>19</v>
      </c>
    </row>
    <row r="359" spans="1:16" x14ac:dyDescent="0.3">
      <c r="A359" s="2">
        <f t="shared" si="30"/>
        <v>20250358</v>
      </c>
      <c r="B359" s="25">
        <v>45679</v>
      </c>
      <c r="C359" s="2" t="s">
        <v>486</v>
      </c>
      <c r="D359" s="2" t="s">
        <v>28</v>
      </c>
      <c r="E359" s="20" t="s">
        <v>828</v>
      </c>
      <c r="F359" s="20" t="s">
        <v>355</v>
      </c>
      <c r="G359" s="2" t="s">
        <v>21</v>
      </c>
      <c r="H359" s="3">
        <v>10</v>
      </c>
      <c r="I359" s="4">
        <v>25.74</v>
      </c>
      <c r="J359" s="5">
        <f t="shared" si="26"/>
        <v>257.39999999999998</v>
      </c>
      <c r="K359" s="6">
        <v>0.12</v>
      </c>
      <c r="L359" s="5">
        <f t="shared" si="27"/>
        <v>226.51199999999997</v>
      </c>
      <c r="M359" s="4">
        <v>15</v>
      </c>
      <c r="N359" s="5">
        <f t="shared" si="28"/>
        <v>150</v>
      </c>
      <c r="O359" s="5">
        <f t="shared" si="29"/>
        <v>76.511999999999972</v>
      </c>
      <c r="P359" s="2" t="s">
        <v>19</v>
      </c>
    </row>
    <row r="360" spans="1:16" x14ac:dyDescent="0.3">
      <c r="A360" s="2">
        <f t="shared" si="30"/>
        <v>20250359</v>
      </c>
      <c r="B360" s="25">
        <v>45679</v>
      </c>
      <c r="C360" s="2" t="s">
        <v>486</v>
      </c>
      <c r="D360" s="2" t="s">
        <v>24</v>
      </c>
      <c r="E360" s="20" t="s">
        <v>829</v>
      </c>
      <c r="F360" s="20" t="s">
        <v>356</v>
      </c>
      <c r="G360" s="2" t="s">
        <v>18</v>
      </c>
      <c r="H360" s="3">
        <v>7</v>
      </c>
      <c r="I360" s="4">
        <v>8.61</v>
      </c>
      <c r="J360" s="5">
        <f t="shared" si="26"/>
        <v>60.269999999999996</v>
      </c>
      <c r="K360" s="6">
        <v>0.03</v>
      </c>
      <c r="L360" s="5">
        <f t="shared" si="27"/>
        <v>58.461899999999993</v>
      </c>
      <c r="M360" s="4">
        <v>1</v>
      </c>
      <c r="N360" s="5">
        <f t="shared" si="28"/>
        <v>7</v>
      </c>
      <c r="O360" s="5">
        <f t="shared" si="29"/>
        <v>51.461899999999993</v>
      </c>
      <c r="P360" s="2" t="s">
        <v>19</v>
      </c>
    </row>
    <row r="361" spans="1:16" x14ac:dyDescent="0.3">
      <c r="A361" s="2">
        <f t="shared" si="30"/>
        <v>20250360</v>
      </c>
      <c r="B361" s="25">
        <v>45679</v>
      </c>
      <c r="C361" s="2" t="s">
        <v>486</v>
      </c>
      <c r="D361" s="2" t="s">
        <v>28</v>
      </c>
      <c r="E361" s="20" t="s">
        <v>830</v>
      </c>
      <c r="F361" s="20" t="s">
        <v>357</v>
      </c>
      <c r="G361" s="2" t="s">
        <v>27</v>
      </c>
      <c r="H361" s="3">
        <v>102</v>
      </c>
      <c r="I361" s="4">
        <v>40.98</v>
      </c>
      <c r="J361" s="5">
        <f t="shared" si="26"/>
        <v>4179.96</v>
      </c>
      <c r="K361" s="6">
        <v>0.12</v>
      </c>
      <c r="L361" s="5">
        <f t="shared" si="27"/>
        <v>3678.3647999999998</v>
      </c>
      <c r="M361" s="4">
        <v>24</v>
      </c>
      <c r="N361" s="5">
        <f t="shared" si="28"/>
        <v>2448</v>
      </c>
      <c r="O361" s="5">
        <f t="shared" si="29"/>
        <v>1230.3647999999998</v>
      </c>
      <c r="P361" s="2" t="s">
        <v>19</v>
      </c>
    </row>
    <row r="362" spans="1:16" x14ac:dyDescent="0.3">
      <c r="A362" s="2">
        <f t="shared" si="30"/>
        <v>20250361</v>
      </c>
      <c r="B362" s="25">
        <v>45679</v>
      </c>
      <c r="C362" s="2" t="s">
        <v>486</v>
      </c>
      <c r="D362" s="2" t="s">
        <v>28</v>
      </c>
      <c r="E362" s="20" t="s">
        <v>831</v>
      </c>
      <c r="F362" s="20" t="s">
        <v>358</v>
      </c>
      <c r="G362" s="2" t="s">
        <v>43</v>
      </c>
      <c r="H362" s="3">
        <v>53</v>
      </c>
      <c r="I362" s="4">
        <v>14.38</v>
      </c>
      <c r="J362" s="5">
        <f t="shared" si="26"/>
        <v>762.14</v>
      </c>
      <c r="K362" s="6">
        <v>0.08</v>
      </c>
      <c r="L362" s="5">
        <f t="shared" si="27"/>
        <v>701.16880000000003</v>
      </c>
      <c r="M362" s="4">
        <v>3</v>
      </c>
      <c r="N362" s="5">
        <f t="shared" si="28"/>
        <v>159</v>
      </c>
      <c r="O362" s="5">
        <f t="shared" si="29"/>
        <v>542.16880000000003</v>
      </c>
      <c r="P362" s="2" t="s">
        <v>19</v>
      </c>
    </row>
    <row r="363" spans="1:16" x14ac:dyDescent="0.3">
      <c r="A363" s="2">
        <f t="shared" si="30"/>
        <v>20250362</v>
      </c>
      <c r="B363" s="25">
        <v>45679</v>
      </c>
      <c r="C363" s="2" t="s">
        <v>486</v>
      </c>
      <c r="D363" s="2" t="s">
        <v>28</v>
      </c>
      <c r="E363" s="20" t="s">
        <v>832</v>
      </c>
      <c r="F363" s="20" t="s">
        <v>359</v>
      </c>
      <c r="G363" s="2" t="s">
        <v>18</v>
      </c>
      <c r="H363" s="3">
        <v>22</v>
      </c>
      <c r="I363" s="4">
        <v>8.85</v>
      </c>
      <c r="J363" s="5">
        <f t="shared" si="26"/>
        <v>194.7</v>
      </c>
      <c r="K363" s="6">
        <v>0.08</v>
      </c>
      <c r="L363" s="5">
        <f t="shared" si="27"/>
        <v>179.124</v>
      </c>
      <c r="M363" s="4">
        <v>1</v>
      </c>
      <c r="N363" s="5">
        <f t="shared" si="28"/>
        <v>22</v>
      </c>
      <c r="O363" s="5">
        <f t="shared" si="29"/>
        <v>157.124</v>
      </c>
      <c r="P363" s="2" t="s">
        <v>19</v>
      </c>
    </row>
    <row r="364" spans="1:16" x14ac:dyDescent="0.3">
      <c r="A364" s="2">
        <f t="shared" si="30"/>
        <v>20250363</v>
      </c>
      <c r="B364" s="25">
        <v>45679</v>
      </c>
      <c r="C364" s="2" t="s">
        <v>486</v>
      </c>
      <c r="D364" s="2" t="s">
        <v>28</v>
      </c>
      <c r="E364" s="20" t="s">
        <v>833</v>
      </c>
      <c r="F364" s="20" t="s">
        <v>360</v>
      </c>
      <c r="G364" s="2" t="s">
        <v>18</v>
      </c>
      <c r="H364" s="3">
        <v>21</v>
      </c>
      <c r="I364" s="4">
        <v>8.23</v>
      </c>
      <c r="J364" s="5">
        <f t="shared" si="26"/>
        <v>172.83</v>
      </c>
      <c r="K364" s="6">
        <v>0.1</v>
      </c>
      <c r="L364" s="5">
        <f t="shared" si="27"/>
        <v>0</v>
      </c>
      <c r="M364" s="4">
        <v>1</v>
      </c>
      <c r="N364" s="5">
        <f t="shared" si="28"/>
        <v>0</v>
      </c>
      <c r="O364" s="5">
        <f t="shared" si="29"/>
        <v>0</v>
      </c>
      <c r="P364" s="2" t="s">
        <v>22</v>
      </c>
    </row>
    <row r="365" spans="1:16" x14ac:dyDescent="0.3">
      <c r="A365" s="2">
        <f t="shared" si="30"/>
        <v>20250364</v>
      </c>
      <c r="B365" s="25">
        <v>45679</v>
      </c>
      <c r="C365" s="2" t="s">
        <v>486</v>
      </c>
      <c r="D365" s="2" t="s">
        <v>24</v>
      </c>
      <c r="E365" s="20" t="s">
        <v>834</v>
      </c>
      <c r="F365" s="20" t="s">
        <v>361</v>
      </c>
      <c r="G365" s="2" t="s">
        <v>43</v>
      </c>
      <c r="H365" s="3">
        <v>19</v>
      </c>
      <c r="I365" s="4">
        <v>15.74</v>
      </c>
      <c r="J365" s="5">
        <f t="shared" si="26"/>
        <v>299.06</v>
      </c>
      <c r="K365" s="6">
        <v>0</v>
      </c>
      <c r="L365" s="5">
        <f t="shared" si="27"/>
        <v>299.06</v>
      </c>
      <c r="M365" s="4">
        <v>3</v>
      </c>
      <c r="N365" s="5">
        <f t="shared" si="28"/>
        <v>57</v>
      </c>
      <c r="O365" s="5">
        <f t="shared" si="29"/>
        <v>242.06</v>
      </c>
      <c r="P365" s="2" t="s">
        <v>19</v>
      </c>
    </row>
    <row r="366" spans="1:16" x14ac:dyDescent="0.3">
      <c r="A366" s="2">
        <f t="shared" si="30"/>
        <v>20250365</v>
      </c>
      <c r="B366" s="25">
        <v>45679</v>
      </c>
      <c r="C366" s="2" t="s">
        <v>486</v>
      </c>
      <c r="D366" s="2" t="s">
        <v>28</v>
      </c>
      <c r="E366" s="20" t="s">
        <v>970</v>
      </c>
      <c r="F366" s="20" t="s">
        <v>362</v>
      </c>
      <c r="G366" s="2" t="s">
        <v>27</v>
      </c>
      <c r="H366" s="3">
        <v>7</v>
      </c>
      <c r="I366" s="4">
        <v>41.39</v>
      </c>
      <c r="J366" s="5">
        <f t="shared" si="26"/>
        <v>289.73</v>
      </c>
      <c r="K366" s="6">
        <v>0.12</v>
      </c>
      <c r="L366" s="5">
        <f t="shared" si="27"/>
        <v>254.96240000000003</v>
      </c>
      <c r="M366" s="4">
        <v>24</v>
      </c>
      <c r="N366" s="5">
        <f t="shared" si="28"/>
        <v>168</v>
      </c>
      <c r="O366" s="5">
        <f t="shared" si="29"/>
        <v>86.962400000000031</v>
      </c>
      <c r="P366" s="2" t="s">
        <v>19</v>
      </c>
    </row>
    <row r="367" spans="1:16" x14ac:dyDescent="0.3">
      <c r="A367" s="2">
        <f t="shared" si="30"/>
        <v>20250366</v>
      </c>
      <c r="B367" s="25">
        <v>45680</v>
      </c>
      <c r="C367" s="2" t="s">
        <v>486</v>
      </c>
      <c r="D367" s="2" t="s">
        <v>16</v>
      </c>
      <c r="E367" s="20" t="s">
        <v>969</v>
      </c>
      <c r="F367" s="20" t="s">
        <v>363</v>
      </c>
      <c r="G367" s="2" t="s">
        <v>32</v>
      </c>
      <c r="H367" s="3">
        <v>14</v>
      </c>
      <c r="I367" s="4">
        <v>20.73</v>
      </c>
      <c r="J367" s="5">
        <f t="shared" ref="J367:J430" si="31">H367*I367</f>
        <v>290.22000000000003</v>
      </c>
      <c r="K367" s="6">
        <v>7.0000000000000007E-2</v>
      </c>
      <c r="L367" s="5">
        <f t="shared" ref="L367:L430" si="32">IF(P367="Returned",0,J367*(1-K367))</f>
        <v>0</v>
      </c>
      <c r="M367" s="4">
        <v>9.5</v>
      </c>
      <c r="N367" s="5">
        <f t="shared" ref="N367:N430" si="33">IF(P367="Returned",0,H367*M367)</f>
        <v>0</v>
      </c>
      <c r="O367" s="5">
        <f t="shared" ref="O367:O430" si="34">L367-N367</f>
        <v>0</v>
      </c>
      <c r="P367" s="2" t="s">
        <v>22</v>
      </c>
    </row>
    <row r="368" spans="1:16" x14ac:dyDescent="0.3">
      <c r="A368" s="2">
        <f t="shared" si="30"/>
        <v>20250367</v>
      </c>
      <c r="B368" s="25">
        <v>45680</v>
      </c>
      <c r="C368" s="2" t="s">
        <v>486</v>
      </c>
      <c r="D368" s="2" t="s">
        <v>16</v>
      </c>
      <c r="E368" s="20" t="s">
        <v>835</v>
      </c>
      <c r="F368" s="20" t="s">
        <v>364</v>
      </c>
      <c r="G368" s="2" t="s">
        <v>32</v>
      </c>
      <c r="H368" s="3">
        <v>21</v>
      </c>
      <c r="I368" s="4">
        <v>19.54</v>
      </c>
      <c r="J368" s="5">
        <f t="shared" si="31"/>
        <v>410.34</v>
      </c>
      <c r="K368" s="6">
        <v>0.05</v>
      </c>
      <c r="L368" s="5">
        <f t="shared" si="32"/>
        <v>389.82299999999998</v>
      </c>
      <c r="M368" s="4">
        <v>9.5</v>
      </c>
      <c r="N368" s="5">
        <f t="shared" si="33"/>
        <v>199.5</v>
      </c>
      <c r="O368" s="5">
        <f t="shared" si="34"/>
        <v>190.32299999999998</v>
      </c>
      <c r="P368" s="2" t="s">
        <v>19</v>
      </c>
    </row>
    <row r="369" spans="1:16" x14ac:dyDescent="0.3">
      <c r="A369" s="2">
        <f t="shared" si="30"/>
        <v>20250368</v>
      </c>
      <c r="B369" s="25">
        <v>45680</v>
      </c>
      <c r="C369" s="2" t="s">
        <v>486</v>
      </c>
      <c r="D369" s="2" t="s">
        <v>16</v>
      </c>
      <c r="E369" s="20" t="s">
        <v>823</v>
      </c>
      <c r="F369" s="20" t="s">
        <v>365</v>
      </c>
      <c r="G369" s="2" t="s">
        <v>32</v>
      </c>
      <c r="H369" s="3">
        <v>25</v>
      </c>
      <c r="I369" s="4">
        <v>18.89</v>
      </c>
      <c r="J369" s="5">
        <f t="shared" si="31"/>
        <v>472.25</v>
      </c>
      <c r="K369" s="6">
        <v>0.03</v>
      </c>
      <c r="L369" s="5">
        <f t="shared" si="32"/>
        <v>458.08249999999998</v>
      </c>
      <c r="M369" s="4">
        <v>9.5</v>
      </c>
      <c r="N369" s="5">
        <f t="shared" si="33"/>
        <v>237.5</v>
      </c>
      <c r="O369" s="5">
        <f t="shared" si="34"/>
        <v>220.58249999999998</v>
      </c>
      <c r="P369" s="2" t="s">
        <v>19</v>
      </c>
    </row>
    <row r="370" spans="1:16" x14ac:dyDescent="0.3">
      <c r="A370" s="2">
        <f t="shared" si="30"/>
        <v>20250369</v>
      </c>
      <c r="B370" s="25">
        <v>45680</v>
      </c>
      <c r="C370" s="2" t="s">
        <v>486</v>
      </c>
      <c r="D370" s="2" t="s">
        <v>28</v>
      </c>
      <c r="E370" s="20" t="s">
        <v>836</v>
      </c>
      <c r="F370" s="20" t="s">
        <v>366</v>
      </c>
      <c r="G370" s="2" t="s">
        <v>43</v>
      </c>
      <c r="H370" s="3">
        <v>10</v>
      </c>
      <c r="I370" s="4">
        <v>13.24</v>
      </c>
      <c r="J370" s="5">
        <f t="shared" si="31"/>
        <v>132.4</v>
      </c>
      <c r="K370" s="6">
        <v>0.08</v>
      </c>
      <c r="L370" s="5">
        <f t="shared" si="32"/>
        <v>121.80800000000001</v>
      </c>
      <c r="M370" s="4">
        <v>3</v>
      </c>
      <c r="N370" s="5">
        <f t="shared" si="33"/>
        <v>30</v>
      </c>
      <c r="O370" s="5">
        <f t="shared" si="34"/>
        <v>91.808000000000007</v>
      </c>
      <c r="P370" s="2" t="s">
        <v>19</v>
      </c>
    </row>
    <row r="371" spans="1:16" x14ac:dyDescent="0.3">
      <c r="A371" s="2">
        <f t="shared" si="30"/>
        <v>20250370</v>
      </c>
      <c r="B371" s="25">
        <v>45680</v>
      </c>
      <c r="C371" s="2" t="s">
        <v>486</v>
      </c>
      <c r="D371" s="2" t="s">
        <v>16</v>
      </c>
      <c r="E371" s="20" t="s">
        <v>971</v>
      </c>
      <c r="F371" s="20" t="s">
        <v>367</v>
      </c>
      <c r="G371" s="2" t="s">
        <v>27</v>
      </c>
      <c r="H371" s="3">
        <v>21</v>
      </c>
      <c r="I371" s="4">
        <v>55.27</v>
      </c>
      <c r="J371" s="5">
        <f t="shared" si="31"/>
        <v>1160.67</v>
      </c>
      <c r="K371" s="6">
        <v>0</v>
      </c>
      <c r="L371" s="5">
        <f t="shared" si="32"/>
        <v>1160.67</v>
      </c>
      <c r="M371" s="4">
        <v>24</v>
      </c>
      <c r="N371" s="5">
        <f t="shared" si="33"/>
        <v>504</v>
      </c>
      <c r="O371" s="5">
        <f t="shared" si="34"/>
        <v>656.67000000000007</v>
      </c>
      <c r="P371" s="2" t="s">
        <v>19</v>
      </c>
    </row>
    <row r="372" spans="1:16" x14ac:dyDescent="0.3">
      <c r="A372" s="2">
        <f t="shared" si="30"/>
        <v>20250371</v>
      </c>
      <c r="B372" s="25">
        <v>45680</v>
      </c>
      <c r="C372" s="2" t="s">
        <v>486</v>
      </c>
      <c r="D372" s="2" t="s">
        <v>28</v>
      </c>
      <c r="E372" s="20" t="s">
        <v>837</v>
      </c>
      <c r="F372" s="20" t="s">
        <v>368</v>
      </c>
      <c r="G372" s="2" t="s">
        <v>43</v>
      </c>
      <c r="H372" s="3">
        <v>3</v>
      </c>
      <c r="I372" s="4">
        <v>13.77</v>
      </c>
      <c r="J372" s="5">
        <f t="shared" si="31"/>
        <v>41.31</v>
      </c>
      <c r="K372" s="6">
        <v>0.1</v>
      </c>
      <c r="L372" s="5">
        <f t="shared" si="32"/>
        <v>37.179000000000002</v>
      </c>
      <c r="M372" s="4">
        <v>3</v>
      </c>
      <c r="N372" s="5">
        <f t="shared" si="33"/>
        <v>9</v>
      </c>
      <c r="O372" s="5">
        <f t="shared" si="34"/>
        <v>28.179000000000002</v>
      </c>
      <c r="P372" s="2" t="s">
        <v>19</v>
      </c>
    </row>
    <row r="373" spans="1:16" x14ac:dyDescent="0.3">
      <c r="A373" s="2">
        <f t="shared" si="30"/>
        <v>20250372</v>
      </c>
      <c r="B373" s="25">
        <v>45680</v>
      </c>
      <c r="C373" s="2" t="s">
        <v>486</v>
      </c>
      <c r="D373" s="2" t="s">
        <v>28</v>
      </c>
      <c r="E373" s="20" t="s">
        <v>838</v>
      </c>
      <c r="F373" s="20" t="s">
        <v>369</v>
      </c>
      <c r="G373" s="2" t="s">
        <v>27</v>
      </c>
      <c r="H373" s="3">
        <v>22</v>
      </c>
      <c r="I373" s="4">
        <v>42.94</v>
      </c>
      <c r="J373" s="5">
        <f t="shared" si="31"/>
        <v>944.68</v>
      </c>
      <c r="K373" s="6">
        <v>0.1</v>
      </c>
      <c r="L373" s="5">
        <f t="shared" si="32"/>
        <v>850.21199999999999</v>
      </c>
      <c r="M373" s="4">
        <v>24</v>
      </c>
      <c r="N373" s="5">
        <f t="shared" si="33"/>
        <v>528</v>
      </c>
      <c r="O373" s="5">
        <f t="shared" si="34"/>
        <v>322.21199999999999</v>
      </c>
      <c r="P373" s="2" t="s">
        <v>19</v>
      </c>
    </row>
    <row r="374" spans="1:16" x14ac:dyDescent="0.3">
      <c r="A374" s="2">
        <f t="shared" si="30"/>
        <v>20250373</v>
      </c>
      <c r="B374" s="25">
        <v>45680</v>
      </c>
      <c r="C374" s="2" t="s">
        <v>486</v>
      </c>
      <c r="D374" s="2" t="s">
        <v>28</v>
      </c>
      <c r="E374" s="20" t="s">
        <v>972</v>
      </c>
      <c r="F374" s="20" t="s">
        <v>370</v>
      </c>
      <c r="G374" s="2" t="s">
        <v>32</v>
      </c>
      <c r="H374" s="3">
        <v>38</v>
      </c>
      <c r="I374" s="4">
        <v>18.39</v>
      </c>
      <c r="J374" s="5">
        <f t="shared" si="31"/>
        <v>698.82</v>
      </c>
      <c r="K374" s="6">
        <v>0.08</v>
      </c>
      <c r="L374" s="5">
        <f t="shared" si="32"/>
        <v>0</v>
      </c>
      <c r="M374" s="4">
        <v>9.5</v>
      </c>
      <c r="N374" s="5">
        <f t="shared" si="33"/>
        <v>0</v>
      </c>
      <c r="O374" s="5">
        <f t="shared" si="34"/>
        <v>0</v>
      </c>
      <c r="P374" s="2" t="s">
        <v>22</v>
      </c>
    </row>
    <row r="375" spans="1:16" x14ac:dyDescent="0.3">
      <c r="A375" s="2">
        <f t="shared" si="30"/>
        <v>20250374</v>
      </c>
      <c r="B375" s="25">
        <v>45680</v>
      </c>
      <c r="C375" s="2" t="s">
        <v>486</v>
      </c>
      <c r="D375" s="2" t="s">
        <v>16</v>
      </c>
      <c r="E375" s="20" t="s">
        <v>839</v>
      </c>
      <c r="F375" s="20" t="s">
        <v>371</v>
      </c>
      <c r="G375" s="2" t="s">
        <v>27</v>
      </c>
      <c r="H375" s="3">
        <v>23</v>
      </c>
      <c r="I375" s="4">
        <v>51.33</v>
      </c>
      <c r="J375" s="5">
        <f t="shared" si="31"/>
        <v>1180.5899999999999</v>
      </c>
      <c r="K375" s="6">
        <v>0</v>
      </c>
      <c r="L375" s="5">
        <f t="shared" si="32"/>
        <v>1180.5899999999999</v>
      </c>
      <c r="M375" s="4">
        <v>24</v>
      </c>
      <c r="N375" s="5">
        <f t="shared" si="33"/>
        <v>552</v>
      </c>
      <c r="O375" s="5">
        <f t="shared" si="34"/>
        <v>628.58999999999992</v>
      </c>
      <c r="P375" s="2" t="s">
        <v>19</v>
      </c>
    </row>
    <row r="376" spans="1:16" x14ac:dyDescent="0.3">
      <c r="A376" s="2">
        <f t="shared" si="30"/>
        <v>20250375</v>
      </c>
      <c r="B376" s="25">
        <v>45680</v>
      </c>
      <c r="C376" s="2" t="s">
        <v>486</v>
      </c>
      <c r="D376" s="2" t="s">
        <v>28</v>
      </c>
      <c r="E376" s="20" t="s">
        <v>840</v>
      </c>
      <c r="F376" s="20" t="s">
        <v>372</v>
      </c>
      <c r="G376" s="2" t="s">
        <v>27</v>
      </c>
      <c r="H376" s="3">
        <v>22</v>
      </c>
      <c r="I376" s="4">
        <v>50.2</v>
      </c>
      <c r="J376" s="5">
        <f t="shared" si="31"/>
        <v>1104.4000000000001</v>
      </c>
      <c r="K376" s="6">
        <v>0.05</v>
      </c>
      <c r="L376" s="5">
        <f t="shared" si="32"/>
        <v>1049.18</v>
      </c>
      <c r="M376" s="4">
        <v>24</v>
      </c>
      <c r="N376" s="5">
        <f t="shared" si="33"/>
        <v>528</v>
      </c>
      <c r="O376" s="5">
        <f t="shared" si="34"/>
        <v>521.18000000000006</v>
      </c>
      <c r="P376" s="2" t="s">
        <v>19</v>
      </c>
    </row>
    <row r="377" spans="1:16" x14ac:dyDescent="0.3">
      <c r="A377" s="2">
        <f t="shared" si="30"/>
        <v>20250376</v>
      </c>
      <c r="B377" s="25">
        <v>45680</v>
      </c>
      <c r="C377" s="2" t="s">
        <v>486</v>
      </c>
      <c r="D377" s="2" t="s">
        <v>28</v>
      </c>
      <c r="E377" s="20" t="s">
        <v>841</v>
      </c>
      <c r="F377" s="20" t="s">
        <v>373</v>
      </c>
      <c r="G377" s="2" t="s">
        <v>43</v>
      </c>
      <c r="H377" s="3">
        <v>70</v>
      </c>
      <c r="I377" s="4">
        <v>15.48</v>
      </c>
      <c r="J377" s="5">
        <f t="shared" si="31"/>
        <v>1083.6000000000001</v>
      </c>
      <c r="K377" s="6">
        <v>0.08</v>
      </c>
      <c r="L377" s="5">
        <f t="shared" si="32"/>
        <v>996.91200000000015</v>
      </c>
      <c r="M377" s="4">
        <v>3</v>
      </c>
      <c r="N377" s="5">
        <f t="shared" si="33"/>
        <v>210</v>
      </c>
      <c r="O377" s="5">
        <f t="shared" si="34"/>
        <v>786.91200000000015</v>
      </c>
      <c r="P377" s="2" t="s">
        <v>19</v>
      </c>
    </row>
    <row r="378" spans="1:16" x14ac:dyDescent="0.3">
      <c r="A378" s="2">
        <f t="shared" si="30"/>
        <v>20250377</v>
      </c>
      <c r="B378" s="25">
        <v>45680</v>
      </c>
      <c r="C378" s="2" t="s">
        <v>486</v>
      </c>
      <c r="D378" s="2" t="s">
        <v>28</v>
      </c>
      <c r="E378" s="20" t="s">
        <v>842</v>
      </c>
      <c r="F378" s="20" t="s">
        <v>374</v>
      </c>
      <c r="G378" s="2" t="s">
        <v>21</v>
      </c>
      <c r="H378" s="3">
        <v>14</v>
      </c>
      <c r="I378" s="4">
        <v>25.71</v>
      </c>
      <c r="J378" s="5">
        <f t="shared" si="31"/>
        <v>359.94</v>
      </c>
      <c r="K378" s="6">
        <v>0.05</v>
      </c>
      <c r="L378" s="5">
        <f t="shared" si="32"/>
        <v>341.94299999999998</v>
      </c>
      <c r="M378" s="4">
        <v>15</v>
      </c>
      <c r="N378" s="5">
        <f t="shared" si="33"/>
        <v>210</v>
      </c>
      <c r="O378" s="5">
        <f t="shared" si="34"/>
        <v>131.94299999999998</v>
      </c>
      <c r="P378" s="2" t="s">
        <v>19</v>
      </c>
    </row>
    <row r="379" spans="1:16" x14ac:dyDescent="0.3">
      <c r="A379" s="2">
        <f t="shared" si="30"/>
        <v>20250378</v>
      </c>
      <c r="B379" s="25">
        <v>45680</v>
      </c>
      <c r="C379" s="2" t="s">
        <v>486</v>
      </c>
      <c r="D379" s="2" t="s">
        <v>16</v>
      </c>
      <c r="E379" s="20" t="s">
        <v>843</v>
      </c>
      <c r="F379" s="20" t="s">
        <v>375</v>
      </c>
      <c r="G379" s="2" t="s">
        <v>18</v>
      </c>
      <c r="H379" s="3">
        <v>7</v>
      </c>
      <c r="I379" s="4">
        <v>10.26</v>
      </c>
      <c r="J379" s="5">
        <f t="shared" si="31"/>
        <v>71.819999999999993</v>
      </c>
      <c r="K379" s="6">
        <v>0.05</v>
      </c>
      <c r="L379" s="5">
        <f t="shared" si="32"/>
        <v>68.228999999999985</v>
      </c>
      <c r="M379" s="4">
        <v>1</v>
      </c>
      <c r="N379" s="5">
        <f t="shared" si="33"/>
        <v>7</v>
      </c>
      <c r="O379" s="5">
        <f t="shared" si="34"/>
        <v>61.228999999999985</v>
      </c>
      <c r="P379" s="2" t="s">
        <v>19</v>
      </c>
    </row>
    <row r="380" spans="1:16" x14ac:dyDescent="0.3">
      <c r="A380" s="2">
        <f t="shared" si="30"/>
        <v>20250379</v>
      </c>
      <c r="B380" s="25">
        <v>45680</v>
      </c>
      <c r="C380" s="2" t="s">
        <v>486</v>
      </c>
      <c r="D380" s="2" t="s">
        <v>24</v>
      </c>
      <c r="E380" s="20" t="s">
        <v>697</v>
      </c>
      <c r="F380" s="20" t="s">
        <v>376</v>
      </c>
      <c r="G380" s="2" t="s">
        <v>43</v>
      </c>
      <c r="H380" s="3">
        <v>18</v>
      </c>
      <c r="I380" s="4">
        <v>19.27</v>
      </c>
      <c r="J380" s="5">
        <f t="shared" si="31"/>
        <v>346.86</v>
      </c>
      <c r="K380" s="6">
        <v>0</v>
      </c>
      <c r="L380" s="5">
        <f t="shared" si="32"/>
        <v>346.86</v>
      </c>
      <c r="M380" s="4">
        <v>3</v>
      </c>
      <c r="N380" s="5">
        <f t="shared" si="33"/>
        <v>54</v>
      </c>
      <c r="O380" s="5">
        <f t="shared" si="34"/>
        <v>292.86</v>
      </c>
      <c r="P380" s="2" t="s">
        <v>19</v>
      </c>
    </row>
    <row r="381" spans="1:16" x14ac:dyDescent="0.3">
      <c r="A381" s="2">
        <f t="shared" si="30"/>
        <v>20250380</v>
      </c>
      <c r="B381" s="25">
        <v>45681</v>
      </c>
      <c r="C381" s="2" t="s">
        <v>486</v>
      </c>
      <c r="D381" s="2" t="s">
        <v>16</v>
      </c>
      <c r="E381" s="20" t="s">
        <v>844</v>
      </c>
      <c r="F381" s="20" t="s">
        <v>377</v>
      </c>
      <c r="G381" s="2" t="s">
        <v>21</v>
      </c>
      <c r="H381" s="3">
        <v>5</v>
      </c>
      <c r="I381" s="4">
        <v>30.51</v>
      </c>
      <c r="J381" s="5">
        <f t="shared" si="31"/>
        <v>152.55000000000001</v>
      </c>
      <c r="K381" s="6">
        <v>0</v>
      </c>
      <c r="L381" s="5">
        <f t="shared" si="32"/>
        <v>152.55000000000001</v>
      </c>
      <c r="M381" s="4">
        <v>15</v>
      </c>
      <c r="N381" s="5">
        <f t="shared" si="33"/>
        <v>75</v>
      </c>
      <c r="O381" s="5">
        <f t="shared" si="34"/>
        <v>77.550000000000011</v>
      </c>
      <c r="P381" s="2" t="s">
        <v>19</v>
      </c>
    </row>
    <row r="382" spans="1:16" x14ac:dyDescent="0.3">
      <c r="A382" s="2">
        <f t="shared" si="30"/>
        <v>20250381</v>
      </c>
      <c r="B382" s="25">
        <v>45681</v>
      </c>
      <c r="C382" s="2" t="s">
        <v>486</v>
      </c>
      <c r="D382" s="2" t="s">
        <v>28</v>
      </c>
      <c r="E382" s="20" t="s">
        <v>845</v>
      </c>
      <c r="F382" s="20" t="s">
        <v>378</v>
      </c>
      <c r="G382" s="2" t="s">
        <v>32</v>
      </c>
      <c r="H382" s="3">
        <v>69</v>
      </c>
      <c r="I382" s="4">
        <v>18.260000000000002</v>
      </c>
      <c r="J382" s="5">
        <f t="shared" si="31"/>
        <v>1259.94</v>
      </c>
      <c r="K382" s="6">
        <v>0.08</v>
      </c>
      <c r="L382" s="5">
        <f t="shared" si="32"/>
        <v>1159.1448</v>
      </c>
      <c r="M382" s="4">
        <v>9.5</v>
      </c>
      <c r="N382" s="5">
        <f t="shared" si="33"/>
        <v>655.5</v>
      </c>
      <c r="O382" s="5">
        <f t="shared" si="34"/>
        <v>503.64480000000003</v>
      </c>
      <c r="P382" s="2" t="s">
        <v>19</v>
      </c>
    </row>
    <row r="383" spans="1:16" x14ac:dyDescent="0.3">
      <c r="A383" s="2">
        <f t="shared" si="30"/>
        <v>20250382</v>
      </c>
      <c r="B383" s="25">
        <v>45681</v>
      </c>
      <c r="C383" s="2" t="s">
        <v>486</v>
      </c>
      <c r="D383" s="2" t="s">
        <v>28</v>
      </c>
      <c r="E383" s="20" t="s">
        <v>846</v>
      </c>
      <c r="F383" s="20" t="s">
        <v>379</v>
      </c>
      <c r="G383" s="2" t="s">
        <v>18</v>
      </c>
      <c r="H383" s="3">
        <v>118</v>
      </c>
      <c r="I383" s="4">
        <v>10</v>
      </c>
      <c r="J383" s="5">
        <f t="shared" si="31"/>
        <v>1180</v>
      </c>
      <c r="K383" s="6">
        <v>0.05</v>
      </c>
      <c r="L383" s="5">
        <f t="shared" si="32"/>
        <v>1121</v>
      </c>
      <c r="M383" s="4">
        <v>1</v>
      </c>
      <c r="N383" s="5">
        <f t="shared" si="33"/>
        <v>118</v>
      </c>
      <c r="O383" s="5">
        <f t="shared" si="34"/>
        <v>1003</v>
      </c>
      <c r="P383" s="2" t="s">
        <v>19</v>
      </c>
    </row>
    <row r="384" spans="1:16" x14ac:dyDescent="0.3">
      <c r="A384" s="2">
        <f t="shared" si="30"/>
        <v>20250383</v>
      </c>
      <c r="B384" s="25">
        <v>45681</v>
      </c>
      <c r="C384" s="2" t="s">
        <v>486</v>
      </c>
      <c r="D384" s="2" t="s">
        <v>24</v>
      </c>
      <c r="E384" s="20" t="s">
        <v>847</v>
      </c>
      <c r="F384" s="20" t="s">
        <v>973</v>
      </c>
      <c r="G384" s="2" t="s">
        <v>32</v>
      </c>
      <c r="H384" s="3">
        <v>20</v>
      </c>
      <c r="I384" s="4">
        <v>20.97</v>
      </c>
      <c r="J384" s="5">
        <f t="shared" si="31"/>
        <v>419.4</v>
      </c>
      <c r="K384" s="6">
        <v>0</v>
      </c>
      <c r="L384" s="5">
        <f t="shared" si="32"/>
        <v>419.4</v>
      </c>
      <c r="M384" s="4">
        <v>9.5</v>
      </c>
      <c r="N384" s="5">
        <f t="shared" si="33"/>
        <v>190</v>
      </c>
      <c r="O384" s="5">
        <f t="shared" si="34"/>
        <v>229.39999999999998</v>
      </c>
      <c r="P384" s="2" t="s">
        <v>19</v>
      </c>
    </row>
    <row r="385" spans="1:16" x14ac:dyDescent="0.3">
      <c r="A385" s="2">
        <f t="shared" si="30"/>
        <v>20250384</v>
      </c>
      <c r="B385" s="25">
        <v>45681</v>
      </c>
      <c r="C385" s="2" t="s">
        <v>486</v>
      </c>
      <c r="D385" s="2" t="s">
        <v>28</v>
      </c>
      <c r="E385" s="20" t="s">
        <v>848</v>
      </c>
      <c r="F385" s="20" t="s">
        <v>380</v>
      </c>
      <c r="G385" s="2" t="s">
        <v>21</v>
      </c>
      <c r="H385" s="3">
        <v>44</v>
      </c>
      <c r="I385" s="4">
        <v>27.93</v>
      </c>
      <c r="J385" s="5">
        <f t="shared" si="31"/>
        <v>1228.92</v>
      </c>
      <c r="K385" s="6">
        <v>0.12</v>
      </c>
      <c r="L385" s="5">
        <f t="shared" si="32"/>
        <v>1081.4496000000001</v>
      </c>
      <c r="M385" s="4">
        <v>15</v>
      </c>
      <c r="N385" s="5">
        <f t="shared" si="33"/>
        <v>660</v>
      </c>
      <c r="O385" s="5">
        <f t="shared" si="34"/>
        <v>421.44960000000015</v>
      </c>
      <c r="P385" s="2" t="s">
        <v>19</v>
      </c>
    </row>
    <row r="386" spans="1:16" x14ac:dyDescent="0.3">
      <c r="A386" s="2">
        <f t="shared" si="30"/>
        <v>20250385</v>
      </c>
      <c r="B386" s="25">
        <v>45681</v>
      </c>
      <c r="C386" s="2" t="s">
        <v>486</v>
      </c>
      <c r="D386" s="2" t="s">
        <v>16</v>
      </c>
      <c r="E386" s="20" t="s">
        <v>849</v>
      </c>
      <c r="F386" s="20" t="s">
        <v>381</v>
      </c>
      <c r="G386" s="2" t="s">
        <v>32</v>
      </c>
      <c r="H386" s="3">
        <v>6</v>
      </c>
      <c r="I386" s="4">
        <v>21.42</v>
      </c>
      <c r="J386" s="5">
        <f t="shared" si="31"/>
        <v>128.52000000000001</v>
      </c>
      <c r="K386" s="6">
        <v>0.03</v>
      </c>
      <c r="L386" s="5">
        <f t="shared" si="32"/>
        <v>124.6644</v>
      </c>
      <c r="M386" s="4">
        <v>9.5</v>
      </c>
      <c r="N386" s="5">
        <f t="shared" si="33"/>
        <v>57</v>
      </c>
      <c r="O386" s="5">
        <f t="shared" si="34"/>
        <v>67.664400000000001</v>
      </c>
      <c r="P386" s="2" t="s">
        <v>19</v>
      </c>
    </row>
    <row r="387" spans="1:16" x14ac:dyDescent="0.3">
      <c r="A387" s="2">
        <f t="shared" si="30"/>
        <v>20250386</v>
      </c>
      <c r="B387" s="25">
        <v>45681</v>
      </c>
      <c r="C387" s="2" t="s">
        <v>486</v>
      </c>
      <c r="D387" s="2" t="s">
        <v>28</v>
      </c>
      <c r="E387" s="20" t="s">
        <v>850</v>
      </c>
      <c r="F387" s="20" t="s">
        <v>382</v>
      </c>
      <c r="G387" s="2" t="s">
        <v>27</v>
      </c>
      <c r="H387" s="3">
        <v>120</v>
      </c>
      <c r="I387" s="4">
        <v>41.89</v>
      </c>
      <c r="J387" s="5">
        <f t="shared" si="31"/>
        <v>5026.8</v>
      </c>
      <c r="K387" s="6">
        <v>0.08</v>
      </c>
      <c r="L387" s="5">
        <f t="shared" si="32"/>
        <v>4624.6559999999999</v>
      </c>
      <c r="M387" s="4">
        <v>24</v>
      </c>
      <c r="N387" s="5">
        <f t="shared" si="33"/>
        <v>2880</v>
      </c>
      <c r="O387" s="5">
        <f t="shared" si="34"/>
        <v>1744.6559999999999</v>
      </c>
      <c r="P387" s="2" t="s">
        <v>19</v>
      </c>
    </row>
    <row r="388" spans="1:16" x14ac:dyDescent="0.3">
      <c r="A388" s="2">
        <f t="shared" ref="A388:A451" si="35">A387+1</f>
        <v>20250387</v>
      </c>
      <c r="B388" s="25">
        <v>45681</v>
      </c>
      <c r="C388" s="2" t="s">
        <v>486</v>
      </c>
      <c r="D388" s="2" t="s">
        <v>28</v>
      </c>
      <c r="E388" s="20" t="s">
        <v>851</v>
      </c>
      <c r="F388" s="20" t="s">
        <v>383</v>
      </c>
      <c r="G388" s="2" t="s">
        <v>43</v>
      </c>
      <c r="H388" s="3">
        <v>43</v>
      </c>
      <c r="I388" s="4">
        <v>16.84</v>
      </c>
      <c r="J388" s="5">
        <f t="shared" si="31"/>
        <v>724.12</v>
      </c>
      <c r="K388" s="6">
        <v>0.05</v>
      </c>
      <c r="L388" s="5">
        <f t="shared" si="32"/>
        <v>687.91399999999999</v>
      </c>
      <c r="M388" s="4">
        <v>3</v>
      </c>
      <c r="N388" s="5">
        <f t="shared" si="33"/>
        <v>129</v>
      </c>
      <c r="O388" s="5">
        <f t="shared" si="34"/>
        <v>558.91399999999999</v>
      </c>
      <c r="P388" s="2" t="s">
        <v>19</v>
      </c>
    </row>
    <row r="389" spans="1:16" x14ac:dyDescent="0.3">
      <c r="A389" s="2">
        <f t="shared" si="35"/>
        <v>20250388</v>
      </c>
      <c r="B389" s="25">
        <v>45681</v>
      </c>
      <c r="C389" s="2" t="s">
        <v>486</v>
      </c>
      <c r="D389" s="2" t="s">
        <v>16</v>
      </c>
      <c r="E389" s="20" t="s">
        <v>852</v>
      </c>
      <c r="F389" s="20" t="s">
        <v>384</v>
      </c>
      <c r="G389" s="2" t="s">
        <v>27</v>
      </c>
      <c r="H389" s="3">
        <v>14</v>
      </c>
      <c r="I389" s="4">
        <v>46.38</v>
      </c>
      <c r="J389" s="5">
        <f t="shared" si="31"/>
        <v>649.32000000000005</v>
      </c>
      <c r="K389" s="6">
        <v>0</v>
      </c>
      <c r="L389" s="5">
        <f t="shared" si="32"/>
        <v>649.32000000000005</v>
      </c>
      <c r="M389" s="4">
        <v>24</v>
      </c>
      <c r="N389" s="5">
        <f t="shared" si="33"/>
        <v>336</v>
      </c>
      <c r="O389" s="5">
        <f t="shared" si="34"/>
        <v>313.32000000000005</v>
      </c>
      <c r="P389" s="2" t="s">
        <v>19</v>
      </c>
    </row>
    <row r="390" spans="1:16" x14ac:dyDescent="0.3">
      <c r="A390" s="2">
        <f t="shared" si="35"/>
        <v>20250389</v>
      </c>
      <c r="B390" s="25">
        <v>45681</v>
      </c>
      <c r="C390" s="2" t="s">
        <v>486</v>
      </c>
      <c r="D390" s="2" t="s">
        <v>16</v>
      </c>
      <c r="E390" s="20" t="s">
        <v>853</v>
      </c>
      <c r="F390" s="20" t="s">
        <v>385</v>
      </c>
      <c r="G390" s="2" t="s">
        <v>43</v>
      </c>
      <c r="H390" s="3">
        <v>21</v>
      </c>
      <c r="I390" s="4">
        <v>16</v>
      </c>
      <c r="J390" s="5">
        <f t="shared" si="31"/>
        <v>336</v>
      </c>
      <c r="K390" s="6">
        <v>0.03</v>
      </c>
      <c r="L390" s="5">
        <f t="shared" si="32"/>
        <v>325.92</v>
      </c>
      <c r="M390" s="4">
        <v>3</v>
      </c>
      <c r="N390" s="5">
        <f t="shared" si="33"/>
        <v>63</v>
      </c>
      <c r="O390" s="5">
        <f t="shared" si="34"/>
        <v>262.92</v>
      </c>
      <c r="P390" s="2" t="s">
        <v>19</v>
      </c>
    </row>
    <row r="391" spans="1:16" x14ac:dyDescent="0.3">
      <c r="A391" s="2">
        <f t="shared" si="35"/>
        <v>20250390</v>
      </c>
      <c r="B391" s="25">
        <v>45681</v>
      </c>
      <c r="C391" s="2" t="s">
        <v>486</v>
      </c>
      <c r="D391" s="2" t="s">
        <v>24</v>
      </c>
      <c r="E391" s="20" t="s">
        <v>854</v>
      </c>
      <c r="F391" s="20" t="s">
        <v>386</v>
      </c>
      <c r="G391" s="2" t="s">
        <v>43</v>
      </c>
      <c r="H391" s="3">
        <v>9</v>
      </c>
      <c r="I391" s="4">
        <v>18.45</v>
      </c>
      <c r="J391" s="5">
        <f t="shared" si="31"/>
        <v>166.04999999999998</v>
      </c>
      <c r="K391" s="6">
        <v>0.03</v>
      </c>
      <c r="L391" s="5">
        <f t="shared" si="32"/>
        <v>161.06849999999997</v>
      </c>
      <c r="M391" s="4">
        <v>3</v>
      </c>
      <c r="N391" s="5">
        <f t="shared" si="33"/>
        <v>27</v>
      </c>
      <c r="O391" s="5">
        <f t="shared" si="34"/>
        <v>134.06849999999997</v>
      </c>
      <c r="P391" s="2" t="s">
        <v>19</v>
      </c>
    </row>
    <row r="392" spans="1:16" x14ac:dyDescent="0.3">
      <c r="A392" s="2">
        <f t="shared" si="35"/>
        <v>20250391</v>
      </c>
      <c r="B392" s="25">
        <v>45681</v>
      </c>
      <c r="C392" s="2" t="s">
        <v>486</v>
      </c>
      <c r="D392" s="2" t="s">
        <v>16</v>
      </c>
      <c r="E392" s="20" t="s">
        <v>855</v>
      </c>
      <c r="F392" s="20" t="s">
        <v>387</v>
      </c>
      <c r="G392" s="2" t="s">
        <v>32</v>
      </c>
      <c r="H392" s="3">
        <v>19</v>
      </c>
      <c r="I392" s="4">
        <v>20.21</v>
      </c>
      <c r="J392" s="5">
        <f t="shared" si="31"/>
        <v>383.99</v>
      </c>
      <c r="K392" s="6">
        <v>7.0000000000000007E-2</v>
      </c>
      <c r="L392" s="5">
        <f t="shared" si="32"/>
        <v>357.11070000000001</v>
      </c>
      <c r="M392" s="4">
        <v>9.5</v>
      </c>
      <c r="N392" s="5">
        <f t="shared" si="33"/>
        <v>180.5</v>
      </c>
      <c r="O392" s="5">
        <f t="shared" si="34"/>
        <v>176.61070000000001</v>
      </c>
      <c r="P392" s="2" t="s">
        <v>19</v>
      </c>
    </row>
    <row r="393" spans="1:16" x14ac:dyDescent="0.3">
      <c r="A393" s="2">
        <f t="shared" si="35"/>
        <v>20250392</v>
      </c>
      <c r="B393" s="25">
        <v>45681</v>
      </c>
      <c r="C393" s="2" t="s">
        <v>486</v>
      </c>
      <c r="D393" s="2" t="s">
        <v>16</v>
      </c>
      <c r="E393" s="20" t="s">
        <v>856</v>
      </c>
      <c r="F393" s="20" t="s">
        <v>388</v>
      </c>
      <c r="G393" s="2" t="s">
        <v>21</v>
      </c>
      <c r="H393" s="3">
        <v>2</v>
      </c>
      <c r="I393" s="4">
        <v>28.07</v>
      </c>
      <c r="J393" s="5">
        <f t="shared" si="31"/>
        <v>56.14</v>
      </c>
      <c r="K393" s="6">
        <v>0</v>
      </c>
      <c r="L393" s="5">
        <f t="shared" si="32"/>
        <v>56.14</v>
      </c>
      <c r="M393" s="4">
        <v>15</v>
      </c>
      <c r="N393" s="5">
        <f t="shared" si="33"/>
        <v>30</v>
      </c>
      <c r="O393" s="5">
        <f t="shared" si="34"/>
        <v>26.14</v>
      </c>
      <c r="P393" s="2" t="s">
        <v>19</v>
      </c>
    </row>
    <row r="394" spans="1:16" x14ac:dyDescent="0.3">
      <c r="A394" s="2">
        <f t="shared" si="35"/>
        <v>20250393</v>
      </c>
      <c r="B394" s="25">
        <v>45681</v>
      </c>
      <c r="C394" s="2" t="s">
        <v>486</v>
      </c>
      <c r="D394" s="2" t="s">
        <v>28</v>
      </c>
      <c r="E394" s="20" t="s">
        <v>773</v>
      </c>
      <c r="F394" s="20" t="s">
        <v>389</v>
      </c>
      <c r="G394" s="2" t="s">
        <v>18</v>
      </c>
      <c r="H394" s="3">
        <v>11</v>
      </c>
      <c r="I394" s="4">
        <v>9.8699999999999992</v>
      </c>
      <c r="J394" s="5">
        <f t="shared" si="31"/>
        <v>108.57</v>
      </c>
      <c r="K394" s="6">
        <v>0.05</v>
      </c>
      <c r="L394" s="5">
        <f t="shared" si="32"/>
        <v>0</v>
      </c>
      <c r="M394" s="4">
        <v>1</v>
      </c>
      <c r="N394" s="5">
        <f t="shared" si="33"/>
        <v>0</v>
      </c>
      <c r="O394" s="5">
        <f t="shared" si="34"/>
        <v>0</v>
      </c>
      <c r="P394" s="2" t="s">
        <v>22</v>
      </c>
    </row>
    <row r="395" spans="1:16" x14ac:dyDescent="0.3">
      <c r="A395" s="2">
        <f t="shared" si="35"/>
        <v>20250394</v>
      </c>
      <c r="B395" s="25">
        <v>45681</v>
      </c>
      <c r="C395" s="2" t="s">
        <v>486</v>
      </c>
      <c r="D395" s="2" t="s">
        <v>28</v>
      </c>
      <c r="E395" s="20" t="s">
        <v>857</v>
      </c>
      <c r="F395" s="20" t="s">
        <v>390</v>
      </c>
      <c r="G395" s="2" t="s">
        <v>27</v>
      </c>
      <c r="H395" s="3">
        <v>23</v>
      </c>
      <c r="I395" s="4">
        <v>48.28</v>
      </c>
      <c r="J395" s="5">
        <f t="shared" si="31"/>
        <v>1110.44</v>
      </c>
      <c r="K395" s="6">
        <v>0.05</v>
      </c>
      <c r="L395" s="5">
        <f t="shared" si="32"/>
        <v>0</v>
      </c>
      <c r="M395" s="4">
        <v>24</v>
      </c>
      <c r="N395" s="5">
        <f t="shared" si="33"/>
        <v>0</v>
      </c>
      <c r="O395" s="5">
        <f t="shared" si="34"/>
        <v>0</v>
      </c>
      <c r="P395" s="2" t="s">
        <v>22</v>
      </c>
    </row>
    <row r="396" spans="1:16" x14ac:dyDescent="0.3">
      <c r="A396" s="2">
        <f t="shared" si="35"/>
        <v>20250395</v>
      </c>
      <c r="B396" s="25">
        <v>45681</v>
      </c>
      <c r="C396" s="2" t="s">
        <v>486</v>
      </c>
      <c r="D396" s="2" t="s">
        <v>28</v>
      </c>
      <c r="E396" s="20" t="s">
        <v>974</v>
      </c>
      <c r="F396" s="20" t="s">
        <v>391</v>
      </c>
      <c r="G396" s="2" t="s">
        <v>18</v>
      </c>
      <c r="H396" s="3">
        <v>2</v>
      </c>
      <c r="I396" s="4">
        <v>7.65</v>
      </c>
      <c r="J396" s="5">
        <f t="shared" si="31"/>
        <v>15.3</v>
      </c>
      <c r="K396" s="6">
        <v>0.12</v>
      </c>
      <c r="L396" s="5">
        <f t="shared" si="32"/>
        <v>0</v>
      </c>
      <c r="M396" s="4">
        <v>1</v>
      </c>
      <c r="N396" s="5">
        <f t="shared" si="33"/>
        <v>0</v>
      </c>
      <c r="O396" s="5">
        <f t="shared" si="34"/>
        <v>0</v>
      </c>
      <c r="P396" s="2" t="s">
        <v>22</v>
      </c>
    </row>
    <row r="397" spans="1:16" x14ac:dyDescent="0.3">
      <c r="A397" s="2">
        <f t="shared" si="35"/>
        <v>20250396</v>
      </c>
      <c r="B397" s="25">
        <v>45681</v>
      </c>
      <c r="C397" s="2" t="s">
        <v>486</v>
      </c>
      <c r="D397" s="2" t="s">
        <v>16</v>
      </c>
      <c r="E397" s="20" t="s">
        <v>858</v>
      </c>
      <c r="F397" s="20" t="s">
        <v>392</v>
      </c>
      <c r="G397" s="2" t="s">
        <v>43</v>
      </c>
      <c r="H397" s="3">
        <v>7</v>
      </c>
      <c r="I397" s="4">
        <v>16.09</v>
      </c>
      <c r="J397" s="5">
        <f t="shared" si="31"/>
        <v>112.63</v>
      </c>
      <c r="K397" s="6">
        <v>0.03</v>
      </c>
      <c r="L397" s="5">
        <f t="shared" si="32"/>
        <v>0</v>
      </c>
      <c r="M397" s="4">
        <v>3</v>
      </c>
      <c r="N397" s="5">
        <f t="shared" si="33"/>
        <v>0</v>
      </c>
      <c r="O397" s="5">
        <f t="shared" si="34"/>
        <v>0</v>
      </c>
      <c r="P397" s="2" t="s">
        <v>22</v>
      </c>
    </row>
    <row r="398" spans="1:16" x14ac:dyDescent="0.3">
      <c r="A398" s="2">
        <f t="shared" si="35"/>
        <v>20250397</v>
      </c>
      <c r="B398" s="25">
        <v>45681</v>
      </c>
      <c r="C398" s="2" t="s">
        <v>486</v>
      </c>
      <c r="D398" s="2" t="s">
        <v>24</v>
      </c>
      <c r="E398" s="20" t="s">
        <v>859</v>
      </c>
      <c r="F398" s="20" t="s">
        <v>975</v>
      </c>
      <c r="G398" s="2" t="s">
        <v>32</v>
      </c>
      <c r="H398" s="3">
        <v>2</v>
      </c>
      <c r="I398" s="4">
        <v>21.7</v>
      </c>
      <c r="J398" s="5">
        <f t="shared" si="31"/>
        <v>43.4</v>
      </c>
      <c r="K398" s="6">
        <v>0</v>
      </c>
      <c r="L398" s="5">
        <f t="shared" si="32"/>
        <v>43.4</v>
      </c>
      <c r="M398" s="4">
        <v>9.5</v>
      </c>
      <c r="N398" s="5">
        <f t="shared" si="33"/>
        <v>19</v>
      </c>
      <c r="O398" s="5">
        <f t="shared" si="34"/>
        <v>24.4</v>
      </c>
      <c r="P398" s="2" t="s">
        <v>19</v>
      </c>
    </row>
    <row r="399" spans="1:16" x14ac:dyDescent="0.3">
      <c r="A399" s="2">
        <f t="shared" si="35"/>
        <v>20250398</v>
      </c>
      <c r="B399" s="25">
        <v>45681</v>
      </c>
      <c r="C399" s="2" t="s">
        <v>486</v>
      </c>
      <c r="D399" s="2" t="s">
        <v>16</v>
      </c>
      <c r="E399" s="20" t="s">
        <v>860</v>
      </c>
      <c r="F399" s="20" t="s">
        <v>393</v>
      </c>
      <c r="G399" s="2" t="s">
        <v>27</v>
      </c>
      <c r="H399" s="3">
        <v>17</v>
      </c>
      <c r="I399" s="4">
        <v>45.99</v>
      </c>
      <c r="J399" s="5">
        <f t="shared" si="31"/>
        <v>781.83</v>
      </c>
      <c r="K399" s="6">
        <v>0.03</v>
      </c>
      <c r="L399" s="5">
        <f t="shared" si="32"/>
        <v>758.37509999999997</v>
      </c>
      <c r="M399" s="4">
        <v>24</v>
      </c>
      <c r="N399" s="5">
        <f t="shared" si="33"/>
        <v>408</v>
      </c>
      <c r="O399" s="5">
        <f t="shared" si="34"/>
        <v>350.37509999999997</v>
      </c>
      <c r="P399" s="2" t="s">
        <v>19</v>
      </c>
    </row>
    <row r="400" spans="1:16" x14ac:dyDescent="0.3">
      <c r="A400" s="2">
        <f t="shared" si="35"/>
        <v>20250399</v>
      </c>
      <c r="B400" s="25">
        <v>45681</v>
      </c>
      <c r="C400" s="2" t="s">
        <v>486</v>
      </c>
      <c r="D400" s="2" t="s">
        <v>28</v>
      </c>
      <c r="E400" s="20" t="s">
        <v>622</v>
      </c>
      <c r="F400" s="20" t="s">
        <v>394</v>
      </c>
      <c r="G400" s="2" t="s">
        <v>32</v>
      </c>
      <c r="H400" s="3">
        <v>4</v>
      </c>
      <c r="I400" s="4">
        <v>19.739999999999998</v>
      </c>
      <c r="J400" s="5">
        <f t="shared" si="31"/>
        <v>78.959999999999994</v>
      </c>
      <c r="K400" s="6">
        <v>0.15</v>
      </c>
      <c r="L400" s="5">
        <f t="shared" si="32"/>
        <v>67.116</v>
      </c>
      <c r="M400" s="4">
        <v>9.5</v>
      </c>
      <c r="N400" s="5">
        <f t="shared" si="33"/>
        <v>38</v>
      </c>
      <c r="O400" s="5">
        <f t="shared" si="34"/>
        <v>29.116</v>
      </c>
      <c r="P400" s="2" t="s">
        <v>19</v>
      </c>
    </row>
    <row r="401" spans="1:16" x14ac:dyDescent="0.3">
      <c r="A401" s="2">
        <f t="shared" si="35"/>
        <v>20250400</v>
      </c>
      <c r="B401" s="25">
        <v>45681</v>
      </c>
      <c r="C401" s="2" t="s">
        <v>486</v>
      </c>
      <c r="D401" s="2" t="s">
        <v>28</v>
      </c>
      <c r="E401" s="20" t="s">
        <v>861</v>
      </c>
      <c r="F401" s="20" t="s">
        <v>395</v>
      </c>
      <c r="G401" s="2" t="s">
        <v>43</v>
      </c>
      <c r="H401" s="3">
        <v>60</v>
      </c>
      <c r="I401" s="4">
        <v>17.190000000000001</v>
      </c>
      <c r="J401" s="5">
        <f t="shared" si="31"/>
        <v>1031.4000000000001</v>
      </c>
      <c r="K401" s="6">
        <v>0.1</v>
      </c>
      <c r="L401" s="5">
        <f t="shared" si="32"/>
        <v>928.2600000000001</v>
      </c>
      <c r="M401" s="4">
        <v>3</v>
      </c>
      <c r="N401" s="5">
        <f t="shared" si="33"/>
        <v>180</v>
      </c>
      <c r="O401" s="5">
        <f t="shared" si="34"/>
        <v>748.2600000000001</v>
      </c>
      <c r="P401" s="2" t="s">
        <v>19</v>
      </c>
    </row>
    <row r="402" spans="1:16" x14ac:dyDescent="0.3">
      <c r="A402" s="2">
        <f t="shared" si="35"/>
        <v>20250401</v>
      </c>
      <c r="B402" s="25">
        <v>45682</v>
      </c>
      <c r="C402" s="2" t="s">
        <v>486</v>
      </c>
      <c r="D402" s="2" t="s">
        <v>28</v>
      </c>
      <c r="E402" s="20" t="s">
        <v>862</v>
      </c>
      <c r="F402" s="20" t="s">
        <v>396</v>
      </c>
      <c r="G402" s="2" t="s">
        <v>43</v>
      </c>
      <c r="H402" s="3">
        <v>23</v>
      </c>
      <c r="I402" s="4">
        <v>14.9</v>
      </c>
      <c r="J402" s="5">
        <f t="shared" si="31"/>
        <v>342.7</v>
      </c>
      <c r="K402" s="6">
        <v>0.15</v>
      </c>
      <c r="L402" s="5">
        <f t="shared" si="32"/>
        <v>0</v>
      </c>
      <c r="M402" s="4">
        <v>3</v>
      </c>
      <c r="N402" s="5">
        <f t="shared" si="33"/>
        <v>0</v>
      </c>
      <c r="O402" s="5">
        <f t="shared" si="34"/>
        <v>0</v>
      </c>
      <c r="P402" s="2" t="s">
        <v>22</v>
      </c>
    </row>
    <row r="403" spans="1:16" x14ac:dyDescent="0.3">
      <c r="A403" s="2">
        <f t="shared" si="35"/>
        <v>20250402</v>
      </c>
      <c r="B403" s="25">
        <v>45682</v>
      </c>
      <c r="C403" s="2" t="s">
        <v>486</v>
      </c>
      <c r="D403" s="2" t="s">
        <v>24</v>
      </c>
      <c r="E403" s="20" t="s">
        <v>976</v>
      </c>
      <c r="F403" s="20" t="s">
        <v>397</v>
      </c>
      <c r="G403" s="2" t="s">
        <v>18</v>
      </c>
      <c r="H403" s="3">
        <v>17</v>
      </c>
      <c r="I403" s="4">
        <v>9.66</v>
      </c>
      <c r="J403" s="5">
        <f t="shared" si="31"/>
        <v>164.22</v>
      </c>
      <c r="K403" s="6">
        <v>0.02</v>
      </c>
      <c r="L403" s="5">
        <f t="shared" si="32"/>
        <v>160.93559999999999</v>
      </c>
      <c r="M403" s="4">
        <v>1</v>
      </c>
      <c r="N403" s="5">
        <f t="shared" si="33"/>
        <v>17</v>
      </c>
      <c r="O403" s="5">
        <f t="shared" si="34"/>
        <v>143.93559999999999</v>
      </c>
      <c r="P403" s="2" t="s">
        <v>19</v>
      </c>
    </row>
    <row r="404" spans="1:16" x14ac:dyDescent="0.3">
      <c r="A404" s="2">
        <f t="shared" si="35"/>
        <v>20250403</v>
      </c>
      <c r="B404" s="25">
        <v>45682</v>
      </c>
      <c r="C404" s="2" t="s">
        <v>486</v>
      </c>
      <c r="D404" s="2" t="s">
        <v>28</v>
      </c>
      <c r="E404" s="20" t="s">
        <v>863</v>
      </c>
      <c r="F404" s="20" t="s">
        <v>398</v>
      </c>
      <c r="G404" s="2" t="s">
        <v>43</v>
      </c>
      <c r="H404" s="3">
        <v>14</v>
      </c>
      <c r="I404" s="4">
        <v>15.6</v>
      </c>
      <c r="J404" s="5">
        <f t="shared" si="31"/>
        <v>218.4</v>
      </c>
      <c r="K404" s="6">
        <v>0.15</v>
      </c>
      <c r="L404" s="5">
        <f t="shared" si="32"/>
        <v>185.64</v>
      </c>
      <c r="M404" s="4">
        <v>3</v>
      </c>
      <c r="N404" s="5">
        <f t="shared" si="33"/>
        <v>42</v>
      </c>
      <c r="O404" s="5">
        <f t="shared" si="34"/>
        <v>143.63999999999999</v>
      </c>
      <c r="P404" s="2" t="s">
        <v>19</v>
      </c>
    </row>
    <row r="405" spans="1:16" x14ac:dyDescent="0.3">
      <c r="A405" s="2">
        <f t="shared" si="35"/>
        <v>20250404</v>
      </c>
      <c r="B405" s="25">
        <v>45682</v>
      </c>
      <c r="C405" s="2" t="s">
        <v>486</v>
      </c>
      <c r="D405" s="2" t="s">
        <v>16</v>
      </c>
      <c r="E405" s="20" t="s">
        <v>864</v>
      </c>
      <c r="F405" s="20" t="s">
        <v>399</v>
      </c>
      <c r="G405" s="2" t="s">
        <v>21</v>
      </c>
      <c r="H405" s="3">
        <v>25</v>
      </c>
      <c r="I405" s="4">
        <v>28.41</v>
      </c>
      <c r="J405" s="5">
        <f t="shared" si="31"/>
        <v>710.25</v>
      </c>
      <c r="K405" s="6">
        <v>0.05</v>
      </c>
      <c r="L405" s="5">
        <f t="shared" si="32"/>
        <v>674.73749999999995</v>
      </c>
      <c r="M405" s="4">
        <v>15</v>
      </c>
      <c r="N405" s="5">
        <f t="shared" si="33"/>
        <v>375</v>
      </c>
      <c r="O405" s="5">
        <f t="shared" si="34"/>
        <v>299.73749999999995</v>
      </c>
      <c r="P405" s="2" t="s">
        <v>19</v>
      </c>
    </row>
    <row r="406" spans="1:16" x14ac:dyDescent="0.3">
      <c r="A406" s="2">
        <f t="shared" si="35"/>
        <v>20250405</v>
      </c>
      <c r="B406" s="25">
        <v>45682</v>
      </c>
      <c r="C406" s="2" t="s">
        <v>486</v>
      </c>
      <c r="D406" s="2" t="s">
        <v>16</v>
      </c>
      <c r="E406" s="20" t="s">
        <v>865</v>
      </c>
      <c r="F406" s="20" t="s">
        <v>400</v>
      </c>
      <c r="G406" s="2" t="s">
        <v>18</v>
      </c>
      <c r="H406" s="3">
        <v>15</v>
      </c>
      <c r="I406" s="4">
        <v>8.8699999999999992</v>
      </c>
      <c r="J406" s="5">
        <f t="shared" si="31"/>
        <v>133.04999999999998</v>
      </c>
      <c r="K406" s="6">
        <v>0.03</v>
      </c>
      <c r="L406" s="5">
        <f t="shared" si="32"/>
        <v>129.05849999999998</v>
      </c>
      <c r="M406" s="4">
        <v>1</v>
      </c>
      <c r="N406" s="5">
        <f t="shared" si="33"/>
        <v>15</v>
      </c>
      <c r="O406" s="5">
        <f t="shared" si="34"/>
        <v>114.05849999999998</v>
      </c>
      <c r="P406" s="2" t="s">
        <v>19</v>
      </c>
    </row>
    <row r="407" spans="1:16" x14ac:dyDescent="0.3">
      <c r="A407" s="2">
        <f t="shared" si="35"/>
        <v>20250406</v>
      </c>
      <c r="B407" s="25">
        <v>45682</v>
      </c>
      <c r="C407" s="2" t="s">
        <v>486</v>
      </c>
      <c r="D407" s="2" t="s">
        <v>16</v>
      </c>
      <c r="E407" s="20" t="s">
        <v>866</v>
      </c>
      <c r="F407" s="20" t="s">
        <v>401</v>
      </c>
      <c r="G407" s="2" t="s">
        <v>18</v>
      </c>
      <c r="H407" s="3">
        <v>14</v>
      </c>
      <c r="I407" s="4">
        <v>9.33</v>
      </c>
      <c r="J407" s="5">
        <f t="shared" si="31"/>
        <v>130.62</v>
      </c>
      <c r="K407" s="6">
        <v>0.05</v>
      </c>
      <c r="L407" s="5">
        <f t="shared" si="32"/>
        <v>124.089</v>
      </c>
      <c r="M407" s="4">
        <v>1</v>
      </c>
      <c r="N407" s="5">
        <f t="shared" si="33"/>
        <v>14</v>
      </c>
      <c r="O407" s="5">
        <f t="shared" si="34"/>
        <v>110.089</v>
      </c>
      <c r="P407" s="2" t="s">
        <v>19</v>
      </c>
    </row>
    <row r="408" spans="1:16" x14ac:dyDescent="0.3">
      <c r="A408" s="2">
        <f t="shared" si="35"/>
        <v>20250407</v>
      </c>
      <c r="B408" s="25">
        <v>45682</v>
      </c>
      <c r="C408" s="2" t="s">
        <v>486</v>
      </c>
      <c r="D408" s="2" t="s">
        <v>16</v>
      </c>
      <c r="E408" s="20" t="s">
        <v>867</v>
      </c>
      <c r="F408" s="20" t="s">
        <v>402</v>
      </c>
      <c r="G408" s="2" t="s">
        <v>18</v>
      </c>
      <c r="H408" s="3">
        <v>21</v>
      </c>
      <c r="I408" s="4">
        <v>8.23</v>
      </c>
      <c r="J408" s="5">
        <f t="shared" si="31"/>
        <v>172.83</v>
      </c>
      <c r="K408" s="6">
        <v>0.02</v>
      </c>
      <c r="L408" s="5">
        <f t="shared" si="32"/>
        <v>169.3734</v>
      </c>
      <c r="M408" s="4">
        <v>1</v>
      </c>
      <c r="N408" s="5">
        <f t="shared" si="33"/>
        <v>21</v>
      </c>
      <c r="O408" s="5">
        <f t="shared" si="34"/>
        <v>148.3734</v>
      </c>
      <c r="P408" s="2" t="s">
        <v>19</v>
      </c>
    </row>
    <row r="409" spans="1:16" x14ac:dyDescent="0.3">
      <c r="A409" s="2">
        <f t="shared" si="35"/>
        <v>20250408</v>
      </c>
      <c r="B409" s="25">
        <v>45682</v>
      </c>
      <c r="C409" s="2" t="s">
        <v>486</v>
      </c>
      <c r="D409" s="2" t="s">
        <v>16</v>
      </c>
      <c r="E409" s="20" t="s">
        <v>868</v>
      </c>
      <c r="F409" s="20" t="s">
        <v>403</v>
      </c>
      <c r="G409" s="2" t="s">
        <v>32</v>
      </c>
      <c r="H409" s="3">
        <v>6</v>
      </c>
      <c r="I409" s="4">
        <v>19.239999999999998</v>
      </c>
      <c r="J409" s="5">
        <f t="shared" si="31"/>
        <v>115.44</v>
      </c>
      <c r="K409" s="6">
        <v>0</v>
      </c>
      <c r="L409" s="5">
        <f t="shared" si="32"/>
        <v>0</v>
      </c>
      <c r="M409" s="4">
        <v>9.5</v>
      </c>
      <c r="N409" s="5">
        <f t="shared" si="33"/>
        <v>0</v>
      </c>
      <c r="O409" s="5">
        <f t="shared" si="34"/>
        <v>0</v>
      </c>
      <c r="P409" s="2" t="s">
        <v>22</v>
      </c>
    </row>
    <row r="410" spans="1:16" x14ac:dyDescent="0.3">
      <c r="A410" s="2">
        <f t="shared" si="35"/>
        <v>20250409</v>
      </c>
      <c r="B410" s="25">
        <v>45682</v>
      </c>
      <c r="C410" s="2" t="s">
        <v>486</v>
      </c>
      <c r="D410" s="2" t="s">
        <v>16</v>
      </c>
      <c r="E410" s="20" t="s">
        <v>869</v>
      </c>
      <c r="F410" s="20" t="s">
        <v>404</v>
      </c>
      <c r="G410" s="2" t="s">
        <v>27</v>
      </c>
      <c r="H410" s="3">
        <v>14</v>
      </c>
      <c r="I410" s="4">
        <v>51.69</v>
      </c>
      <c r="J410" s="5">
        <f t="shared" si="31"/>
        <v>723.66</v>
      </c>
      <c r="K410" s="6">
        <v>0.02</v>
      </c>
      <c r="L410" s="5">
        <f t="shared" si="32"/>
        <v>0</v>
      </c>
      <c r="M410" s="4">
        <v>24</v>
      </c>
      <c r="N410" s="5">
        <f t="shared" si="33"/>
        <v>0</v>
      </c>
      <c r="O410" s="5">
        <f t="shared" si="34"/>
        <v>0</v>
      </c>
      <c r="P410" s="2" t="s">
        <v>22</v>
      </c>
    </row>
    <row r="411" spans="1:16" x14ac:dyDescent="0.3">
      <c r="A411" s="2">
        <f t="shared" si="35"/>
        <v>20250410</v>
      </c>
      <c r="B411" s="25">
        <v>45682</v>
      </c>
      <c r="C411" s="2" t="s">
        <v>486</v>
      </c>
      <c r="D411" s="2" t="s">
        <v>16</v>
      </c>
      <c r="E411" s="20" t="s">
        <v>870</v>
      </c>
      <c r="F411" s="20" t="s">
        <v>405</v>
      </c>
      <c r="G411" s="2" t="s">
        <v>18</v>
      </c>
      <c r="H411" s="3">
        <v>23</v>
      </c>
      <c r="I411" s="4">
        <v>8.59</v>
      </c>
      <c r="J411" s="5">
        <f t="shared" si="31"/>
        <v>197.57</v>
      </c>
      <c r="K411" s="6">
        <v>0</v>
      </c>
      <c r="L411" s="5">
        <f t="shared" si="32"/>
        <v>0</v>
      </c>
      <c r="M411" s="4">
        <v>1</v>
      </c>
      <c r="N411" s="5">
        <f t="shared" si="33"/>
        <v>0</v>
      </c>
      <c r="O411" s="5">
        <f t="shared" si="34"/>
        <v>0</v>
      </c>
      <c r="P411" s="2" t="s">
        <v>22</v>
      </c>
    </row>
    <row r="412" spans="1:16" x14ac:dyDescent="0.3">
      <c r="A412" s="2">
        <f t="shared" si="35"/>
        <v>20250411</v>
      </c>
      <c r="B412" s="25">
        <v>45682</v>
      </c>
      <c r="C412" s="2" t="s">
        <v>486</v>
      </c>
      <c r="D412" s="2" t="s">
        <v>28</v>
      </c>
      <c r="E412" s="20" t="s">
        <v>871</v>
      </c>
      <c r="F412" s="20" t="s">
        <v>406</v>
      </c>
      <c r="G412" s="2" t="s">
        <v>21</v>
      </c>
      <c r="H412" s="3">
        <v>19</v>
      </c>
      <c r="I412" s="4">
        <v>29.46</v>
      </c>
      <c r="J412" s="5">
        <f t="shared" si="31"/>
        <v>559.74</v>
      </c>
      <c r="K412" s="6">
        <v>0.05</v>
      </c>
      <c r="L412" s="5">
        <f t="shared" si="32"/>
        <v>531.75299999999993</v>
      </c>
      <c r="M412" s="4">
        <v>15</v>
      </c>
      <c r="N412" s="5">
        <f t="shared" si="33"/>
        <v>285</v>
      </c>
      <c r="O412" s="5">
        <f t="shared" si="34"/>
        <v>246.75299999999993</v>
      </c>
      <c r="P412" s="2" t="s">
        <v>19</v>
      </c>
    </row>
    <row r="413" spans="1:16" x14ac:dyDescent="0.3">
      <c r="A413" s="2">
        <f t="shared" si="35"/>
        <v>20250412</v>
      </c>
      <c r="B413" s="25">
        <v>45682</v>
      </c>
      <c r="C413" s="2" t="s">
        <v>486</v>
      </c>
      <c r="D413" s="2" t="s">
        <v>16</v>
      </c>
      <c r="E413" s="20" t="s">
        <v>872</v>
      </c>
      <c r="F413" s="20" t="s">
        <v>407</v>
      </c>
      <c r="G413" s="2" t="s">
        <v>27</v>
      </c>
      <c r="H413" s="3">
        <v>18</v>
      </c>
      <c r="I413" s="4">
        <v>50.2</v>
      </c>
      <c r="J413" s="5">
        <f t="shared" si="31"/>
        <v>903.6</v>
      </c>
      <c r="K413" s="6">
        <v>0</v>
      </c>
      <c r="L413" s="5">
        <f t="shared" si="32"/>
        <v>903.6</v>
      </c>
      <c r="M413" s="4">
        <v>24</v>
      </c>
      <c r="N413" s="5">
        <f t="shared" si="33"/>
        <v>432</v>
      </c>
      <c r="O413" s="5">
        <f t="shared" si="34"/>
        <v>471.6</v>
      </c>
      <c r="P413" s="2" t="s">
        <v>19</v>
      </c>
    </row>
    <row r="414" spans="1:16" x14ac:dyDescent="0.3">
      <c r="A414" s="2">
        <f t="shared" si="35"/>
        <v>20250413</v>
      </c>
      <c r="B414" s="25">
        <v>45682</v>
      </c>
      <c r="C414" s="2" t="s">
        <v>486</v>
      </c>
      <c r="D414" s="2" t="s">
        <v>24</v>
      </c>
      <c r="E414" s="20" t="s">
        <v>873</v>
      </c>
      <c r="F414" s="20" t="s">
        <v>408</v>
      </c>
      <c r="G414" s="2" t="s">
        <v>18</v>
      </c>
      <c r="H414" s="3">
        <v>7</v>
      </c>
      <c r="I414" s="4">
        <v>8.94</v>
      </c>
      <c r="J414" s="5">
        <f t="shared" si="31"/>
        <v>62.58</v>
      </c>
      <c r="K414" s="6">
        <v>7.0000000000000007E-2</v>
      </c>
      <c r="L414" s="5">
        <f t="shared" si="32"/>
        <v>58.199399999999997</v>
      </c>
      <c r="M414" s="4">
        <v>1</v>
      </c>
      <c r="N414" s="5">
        <f t="shared" si="33"/>
        <v>7</v>
      </c>
      <c r="O414" s="5">
        <f t="shared" si="34"/>
        <v>51.199399999999997</v>
      </c>
      <c r="P414" s="2" t="s">
        <v>19</v>
      </c>
    </row>
    <row r="415" spans="1:16" x14ac:dyDescent="0.3">
      <c r="A415" s="2">
        <f t="shared" si="35"/>
        <v>20250414</v>
      </c>
      <c r="B415" s="25">
        <v>45682</v>
      </c>
      <c r="C415" s="2" t="s">
        <v>486</v>
      </c>
      <c r="D415" s="2" t="s">
        <v>16</v>
      </c>
      <c r="E415" s="20" t="s">
        <v>874</v>
      </c>
      <c r="F415" s="20" t="s">
        <v>409</v>
      </c>
      <c r="G415" s="2" t="s">
        <v>21</v>
      </c>
      <c r="H415" s="3">
        <v>8</v>
      </c>
      <c r="I415" s="4">
        <v>31.47</v>
      </c>
      <c r="J415" s="5">
        <f t="shared" si="31"/>
        <v>251.76</v>
      </c>
      <c r="K415" s="6">
        <v>0.03</v>
      </c>
      <c r="L415" s="5">
        <f t="shared" si="32"/>
        <v>244.20719999999997</v>
      </c>
      <c r="M415" s="4">
        <v>15</v>
      </c>
      <c r="N415" s="5">
        <f t="shared" si="33"/>
        <v>120</v>
      </c>
      <c r="O415" s="5">
        <f t="shared" si="34"/>
        <v>124.20719999999997</v>
      </c>
      <c r="P415" s="2" t="s">
        <v>19</v>
      </c>
    </row>
    <row r="416" spans="1:16" x14ac:dyDescent="0.3">
      <c r="A416" s="2">
        <f t="shared" si="35"/>
        <v>20250415</v>
      </c>
      <c r="B416" s="25">
        <v>45682</v>
      </c>
      <c r="C416" s="2" t="s">
        <v>486</v>
      </c>
      <c r="D416" s="2" t="s">
        <v>16</v>
      </c>
      <c r="E416" s="20" t="s">
        <v>875</v>
      </c>
      <c r="F416" s="20" t="s">
        <v>410</v>
      </c>
      <c r="G416" s="2" t="s">
        <v>43</v>
      </c>
      <c r="H416" s="3">
        <v>18</v>
      </c>
      <c r="I416" s="4">
        <v>16.22</v>
      </c>
      <c r="J416" s="5">
        <f t="shared" si="31"/>
        <v>291.95999999999998</v>
      </c>
      <c r="K416" s="6">
        <v>0</v>
      </c>
      <c r="L416" s="5">
        <f t="shared" si="32"/>
        <v>291.95999999999998</v>
      </c>
      <c r="M416" s="4">
        <v>3</v>
      </c>
      <c r="N416" s="5">
        <f t="shared" si="33"/>
        <v>54</v>
      </c>
      <c r="O416" s="5">
        <f t="shared" si="34"/>
        <v>237.95999999999998</v>
      </c>
      <c r="P416" s="2" t="s">
        <v>19</v>
      </c>
    </row>
    <row r="417" spans="1:16" x14ac:dyDescent="0.3">
      <c r="A417" s="2">
        <f t="shared" si="35"/>
        <v>20250416</v>
      </c>
      <c r="B417" s="25">
        <v>45682</v>
      </c>
      <c r="C417" s="2" t="s">
        <v>486</v>
      </c>
      <c r="D417" s="2" t="s">
        <v>28</v>
      </c>
      <c r="E417" s="20" t="s">
        <v>876</v>
      </c>
      <c r="F417" s="20" t="s">
        <v>977</v>
      </c>
      <c r="G417" s="2" t="s">
        <v>27</v>
      </c>
      <c r="H417" s="3">
        <v>2</v>
      </c>
      <c r="I417" s="4">
        <v>47.83</v>
      </c>
      <c r="J417" s="5">
        <f t="shared" si="31"/>
        <v>95.66</v>
      </c>
      <c r="K417" s="6">
        <v>0.08</v>
      </c>
      <c r="L417" s="5">
        <f t="shared" si="32"/>
        <v>88.007199999999997</v>
      </c>
      <c r="M417" s="4">
        <v>24</v>
      </c>
      <c r="N417" s="5">
        <f t="shared" si="33"/>
        <v>48</v>
      </c>
      <c r="O417" s="5">
        <f t="shared" si="34"/>
        <v>40.007199999999997</v>
      </c>
      <c r="P417" s="2" t="s">
        <v>19</v>
      </c>
    </row>
    <row r="418" spans="1:16" x14ac:dyDescent="0.3">
      <c r="A418" s="2">
        <f t="shared" si="35"/>
        <v>20250417</v>
      </c>
      <c r="B418" s="25">
        <v>45682</v>
      </c>
      <c r="C418" s="2" t="s">
        <v>486</v>
      </c>
      <c r="D418" s="2" t="s">
        <v>28</v>
      </c>
      <c r="E418" s="20" t="s">
        <v>877</v>
      </c>
      <c r="F418" s="20" t="s">
        <v>411</v>
      </c>
      <c r="G418" s="2" t="s">
        <v>32</v>
      </c>
      <c r="H418" s="3">
        <v>7</v>
      </c>
      <c r="I418" s="4">
        <v>19.7</v>
      </c>
      <c r="J418" s="5">
        <f t="shared" si="31"/>
        <v>137.9</v>
      </c>
      <c r="K418" s="6">
        <v>0.08</v>
      </c>
      <c r="L418" s="5">
        <f t="shared" si="32"/>
        <v>126.86800000000001</v>
      </c>
      <c r="M418" s="4">
        <v>9.5</v>
      </c>
      <c r="N418" s="5">
        <f t="shared" si="33"/>
        <v>66.5</v>
      </c>
      <c r="O418" s="5">
        <f t="shared" si="34"/>
        <v>60.368000000000009</v>
      </c>
      <c r="P418" s="2" t="s">
        <v>19</v>
      </c>
    </row>
    <row r="419" spans="1:16" x14ac:dyDescent="0.3">
      <c r="A419" s="2">
        <f t="shared" si="35"/>
        <v>20250418</v>
      </c>
      <c r="B419" s="25">
        <v>45683</v>
      </c>
      <c r="C419" s="2" t="s">
        <v>486</v>
      </c>
      <c r="D419" s="2" t="s">
        <v>28</v>
      </c>
      <c r="E419" s="20" t="s">
        <v>878</v>
      </c>
      <c r="F419" s="20" t="s">
        <v>412</v>
      </c>
      <c r="G419" s="2" t="s">
        <v>27</v>
      </c>
      <c r="H419" s="3">
        <v>13</v>
      </c>
      <c r="I419" s="4">
        <v>49.1</v>
      </c>
      <c r="J419" s="5">
        <f t="shared" si="31"/>
        <v>638.30000000000007</v>
      </c>
      <c r="K419" s="6">
        <v>0.1</v>
      </c>
      <c r="L419" s="5">
        <f t="shared" si="32"/>
        <v>574.47</v>
      </c>
      <c r="M419" s="4">
        <v>24</v>
      </c>
      <c r="N419" s="5">
        <f t="shared" si="33"/>
        <v>312</v>
      </c>
      <c r="O419" s="5">
        <f t="shared" si="34"/>
        <v>262.47000000000003</v>
      </c>
      <c r="P419" s="2" t="s">
        <v>19</v>
      </c>
    </row>
    <row r="420" spans="1:16" x14ac:dyDescent="0.3">
      <c r="A420" s="2">
        <f t="shared" si="35"/>
        <v>20250419</v>
      </c>
      <c r="B420" s="25">
        <v>45683</v>
      </c>
      <c r="C420" s="2" t="s">
        <v>486</v>
      </c>
      <c r="D420" s="2" t="s">
        <v>24</v>
      </c>
      <c r="E420" s="20" t="s">
        <v>879</v>
      </c>
      <c r="F420" s="20" t="s">
        <v>413</v>
      </c>
      <c r="G420" s="2" t="s">
        <v>32</v>
      </c>
      <c r="H420" s="3">
        <v>9</v>
      </c>
      <c r="I420" s="4">
        <v>18.86</v>
      </c>
      <c r="J420" s="5">
        <f t="shared" si="31"/>
        <v>169.74</v>
      </c>
      <c r="K420" s="6">
        <v>0.03</v>
      </c>
      <c r="L420" s="5">
        <f t="shared" si="32"/>
        <v>164.64780000000002</v>
      </c>
      <c r="M420" s="4">
        <v>9.5</v>
      </c>
      <c r="N420" s="5">
        <f t="shared" si="33"/>
        <v>85.5</v>
      </c>
      <c r="O420" s="5">
        <f t="shared" si="34"/>
        <v>79.147800000000018</v>
      </c>
      <c r="P420" s="2" t="s">
        <v>19</v>
      </c>
    </row>
    <row r="421" spans="1:16" x14ac:dyDescent="0.3">
      <c r="A421" s="2">
        <f t="shared" si="35"/>
        <v>20250420</v>
      </c>
      <c r="B421" s="25">
        <v>45683</v>
      </c>
      <c r="C421" s="2" t="s">
        <v>486</v>
      </c>
      <c r="D421" s="2" t="s">
        <v>16</v>
      </c>
      <c r="E421" s="20" t="s">
        <v>880</v>
      </c>
      <c r="F421" s="20" t="s">
        <v>414</v>
      </c>
      <c r="G421" s="2" t="s">
        <v>43</v>
      </c>
      <c r="H421" s="3">
        <v>25</v>
      </c>
      <c r="I421" s="4">
        <v>16.309999999999999</v>
      </c>
      <c r="J421" s="5">
        <f t="shared" si="31"/>
        <v>407.74999999999994</v>
      </c>
      <c r="K421" s="6">
        <v>0</v>
      </c>
      <c r="L421" s="5">
        <f t="shared" si="32"/>
        <v>407.74999999999994</v>
      </c>
      <c r="M421" s="4">
        <v>3</v>
      </c>
      <c r="N421" s="5">
        <f t="shared" si="33"/>
        <v>75</v>
      </c>
      <c r="O421" s="5">
        <f t="shared" si="34"/>
        <v>332.74999999999994</v>
      </c>
      <c r="P421" s="2" t="s">
        <v>19</v>
      </c>
    </row>
    <row r="422" spans="1:16" x14ac:dyDescent="0.3">
      <c r="A422" s="2">
        <f t="shared" si="35"/>
        <v>20250421</v>
      </c>
      <c r="B422" s="25">
        <v>45683</v>
      </c>
      <c r="C422" s="2" t="s">
        <v>486</v>
      </c>
      <c r="D422" s="2" t="s">
        <v>24</v>
      </c>
      <c r="E422" s="20" t="s">
        <v>881</v>
      </c>
      <c r="F422" s="20" t="s">
        <v>415</v>
      </c>
      <c r="G422" s="2" t="s">
        <v>21</v>
      </c>
      <c r="H422" s="3">
        <v>10</v>
      </c>
      <c r="I422" s="4">
        <v>27.79</v>
      </c>
      <c r="J422" s="5">
        <f t="shared" si="31"/>
        <v>277.89999999999998</v>
      </c>
      <c r="K422" s="6">
        <v>0.03</v>
      </c>
      <c r="L422" s="5">
        <f t="shared" si="32"/>
        <v>269.56299999999999</v>
      </c>
      <c r="M422" s="4">
        <v>15</v>
      </c>
      <c r="N422" s="5">
        <f t="shared" si="33"/>
        <v>150</v>
      </c>
      <c r="O422" s="5">
        <f t="shared" si="34"/>
        <v>119.56299999999999</v>
      </c>
      <c r="P422" s="2" t="s">
        <v>19</v>
      </c>
    </row>
    <row r="423" spans="1:16" x14ac:dyDescent="0.3">
      <c r="A423" s="2">
        <f t="shared" si="35"/>
        <v>20250422</v>
      </c>
      <c r="B423" s="25">
        <v>45683</v>
      </c>
      <c r="C423" s="2" t="s">
        <v>486</v>
      </c>
      <c r="D423" s="2" t="s">
        <v>28</v>
      </c>
      <c r="E423" s="20" t="s">
        <v>978</v>
      </c>
      <c r="F423" s="20" t="s">
        <v>979</v>
      </c>
      <c r="G423" s="2" t="s">
        <v>21</v>
      </c>
      <c r="H423" s="3">
        <v>27</v>
      </c>
      <c r="I423" s="4">
        <v>27.93</v>
      </c>
      <c r="J423" s="5">
        <f t="shared" si="31"/>
        <v>754.11</v>
      </c>
      <c r="K423" s="6">
        <v>0.15</v>
      </c>
      <c r="L423" s="5">
        <f t="shared" si="32"/>
        <v>640.99350000000004</v>
      </c>
      <c r="M423" s="4">
        <v>15</v>
      </c>
      <c r="N423" s="5">
        <f t="shared" si="33"/>
        <v>405</v>
      </c>
      <c r="O423" s="5">
        <f t="shared" si="34"/>
        <v>235.99350000000004</v>
      </c>
      <c r="P423" s="2" t="s">
        <v>19</v>
      </c>
    </row>
    <row r="424" spans="1:16" x14ac:dyDescent="0.3">
      <c r="A424" s="2">
        <f t="shared" si="35"/>
        <v>20250423</v>
      </c>
      <c r="B424" s="25">
        <v>45683</v>
      </c>
      <c r="C424" s="2" t="s">
        <v>486</v>
      </c>
      <c r="D424" s="2" t="s">
        <v>24</v>
      </c>
      <c r="E424" s="20" t="s">
        <v>882</v>
      </c>
      <c r="F424" s="20" t="s">
        <v>416</v>
      </c>
      <c r="G424" s="2" t="s">
        <v>18</v>
      </c>
      <c r="H424" s="3">
        <v>4</v>
      </c>
      <c r="I424" s="4">
        <v>11.03</v>
      </c>
      <c r="J424" s="5">
        <f t="shared" si="31"/>
        <v>44.12</v>
      </c>
      <c r="K424" s="6">
        <v>0.03</v>
      </c>
      <c r="L424" s="5">
        <f t="shared" si="32"/>
        <v>42.796399999999998</v>
      </c>
      <c r="M424" s="4">
        <v>1</v>
      </c>
      <c r="N424" s="5">
        <f t="shared" si="33"/>
        <v>4</v>
      </c>
      <c r="O424" s="5">
        <f t="shared" si="34"/>
        <v>38.796399999999998</v>
      </c>
      <c r="P424" s="2" t="s">
        <v>19</v>
      </c>
    </row>
    <row r="425" spans="1:16" x14ac:dyDescent="0.3">
      <c r="A425" s="2">
        <f t="shared" si="35"/>
        <v>20250424</v>
      </c>
      <c r="B425" s="25">
        <v>45683</v>
      </c>
      <c r="C425" s="2" t="s">
        <v>486</v>
      </c>
      <c r="D425" s="2" t="s">
        <v>16</v>
      </c>
      <c r="E425" s="20" t="s">
        <v>883</v>
      </c>
      <c r="F425" s="20" t="s">
        <v>417</v>
      </c>
      <c r="G425" s="2" t="s">
        <v>18</v>
      </c>
      <c r="H425" s="3">
        <v>14</v>
      </c>
      <c r="I425" s="4">
        <v>9.07</v>
      </c>
      <c r="J425" s="5">
        <f t="shared" si="31"/>
        <v>126.98</v>
      </c>
      <c r="K425" s="6">
        <v>0</v>
      </c>
      <c r="L425" s="5">
        <f t="shared" si="32"/>
        <v>0</v>
      </c>
      <c r="M425" s="4">
        <v>1</v>
      </c>
      <c r="N425" s="5">
        <f t="shared" si="33"/>
        <v>0</v>
      </c>
      <c r="O425" s="5">
        <f t="shared" si="34"/>
        <v>0</v>
      </c>
      <c r="P425" s="2" t="s">
        <v>22</v>
      </c>
    </row>
    <row r="426" spans="1:16" x14ac:dyDescent="0.3">
      <c r="A426" s="2">
        <f t="shared" si="35"/>
        <v>20250425</v>
      </c>
      <c r="B426" s="25">
        <v>45683</v>
      </c>
      <c r="C426" s="2" t="s">
        <v>486</v>
      </c>
      <c r="D426" s="2" t="s">
        <v>16</v>
      </c>
      <c r="E426" s="20" t="s">
        <v>884</v>
      </c>
      <c r="F426" s="20" t="s">
        <v>418</v>
      </c>
      <c r="G426" s="2" t="s">
        <v>18</v>
      </c>
      <c r="H426" s="3">
        <v>22</v>
      </c>
      <c r="I426" s="4">
        <v>9.25</v>
      </c>
      <c r="J426" s="5">
        <f t="shared" si="31"/>
        <v>203.5</v>
      </c>
      <c r="K426" s="6">
        <v>0</v>
      </c>
      <c r="L426" s="5">
        <f t="shared" si="32"/>
        <v>203.5</v>
      </c>
      <c r="M426" s="4">
        <v>1</v>
      </c>
      <c r="N426" s="5">
        <f t="shared" si="33"/>
        <v>22</v>
      </c>
      <c r="O426" s="5">
        <f t="shared" si="34"/>
        <v>181.5</v>
      </c>
      <c r="P426" s="2" t="s">
        <v>19</v>
      </c>
    </row>
    <row r="427" spans="1:16" x14ac:dyDescent="0.3">
      <c r="A427" s="2">
        <f t="shared" si="35"/>
        <v>20250426</v>
      </c>
      <c r="B427" s="25">
        <v>45683</v>
      </c>
      <c r="C427" s="2" t="s">
        <v>486</v>
      </c>
      <c r="D427" s="2" t="s">
        <v>24</v>
      </c>
      <c r="E427" s="20" t="s">
        <v>885</v>
      </c>
      <c r="F427" s="20" t="s">
        <v>980</v>
      </c>
      <c r="G427" s="2" t="s">
        <v>21</v>
      </c>
      <c r="H427" s="3">
        <v>4</v>
      </c>
      <c r="I427" s="4">
        <v>30.62</v>
      </c>
      <c r="J427" s="5">
        <f t="shared" si="31"/>
        <v>122.48</v>
      </c>
      <c r="K427" s="6">
        <v>7.0000000000000007E-2</v>
      </c>
      <c r="L427" s="5">
        <f t="shared" si="32"/>
        <v>113.90639999999999</v>
      </c>
      <c r="M427" s="4">
        <v>15</v>
      </c>
      <c r="N427" s="5">
        <f t="shared" si="33"/>
        <v>60</v>
      </c>
      <c r="O427" s="5">
        <f t="shared" si="34"/>
        <v>53.906399999999991</v>
      </c>
      <c r="P427" s="2" t="s">
        <v>19</v>
      </c>
    </row>
    <row r="428" spans="1:16" x14ac:dyDescent="0.3">
      <c r="A428" s="2">
        <f t="shared" si="35"/>
        <v>20250427</v>
      </c>
      <c r="B428" s="25">
        <v>45683</v>
      </c>
      <c r="C428" s="2" t="s">
        <v>486</v>
      </c>
      <c r="D428" s="2" t="s">
        <v>16</v>
      </c>
      <c r="E428" s="20" t="s">
        <v>617</v>
      </c>
      <c r="F428" s="20" t="s">
        <v>419</v>
      </c>
      <c r="G428" s="2" t="s">
        <v>32</v>
      </c>
      <c r="H428" s="3">
        <v>7</v>
      </c>
      <c r="I428" s="4">
        <v>18</v>
      </c>
      <c r="J428" s="5">
        <f t="shared" si="31"/>
        <v>126</v>
      </c>
      <c r="K428" s="6">
        <v>0.03</v>
      </c>
      <c r="L428" s="5">
        <f t="shared" si="32"/>
        <v>122.22</v>
      </c>
      <c r="M428" s="4">
        <v>9.5</v>
      </c>
      <c r="N428" s="5">
        <f t="shared" si="33"/>
        <v>66.5</v>
      </c>
      <c r="O428" s="5">
        <f t="shared" si="34"/>
        <v>55.72</v>
      </c>
      <c r="P428" s="2" t="s">
        <v>19</v>
      </c>
    </row>
    <row r="429" spans="1:16" x14ac:dyDescent="0.3">
      <c r="A429" s="2">
        <f t="shared" si="35"/>
        <v>20250428</v>
      </c>
      <c r="B429" s="25">
        <v>45683</v>
      </c>
      <c r="C429" s="2" t="s">
        <v>486</v>
      </c>
      <c r="D429" s="2" t="s">
        <v>16</v>
      </c>
      <c r="E429" s="20" t="s">
        <v>886</v>
      </c>
      <c r="F429" s="20" t="s">
        <v>420</v>
      </c>
      <c r="G429" s="2" t="s">
        <v>27</v>
      </c>
      <c r="H429" s="3">
        <v>14</v>
      </c>
      <c r="I429" s="4">
        <v>43.41</v>
      </c>
      <c r="J429" s="5">
        <f t="shared" si="31"/>
        <v>607.74</v>
      </c>
      <c r="K429" s="6">
        <v>0.05</v>
      </c>
      <c r="L429" s="5">
        <f t="shared" si="32"/>
        <v>0</v>
      </c>
      <c r="M429" s="4">
        <v>24</v>
      </c>
      <c r="N429" s="5">
        <f t="shared" si="33"/>
        <v>0</v>
      </c>
      <c r="O429" s="5">
        <f t="shared" si="34"/>
        <v>0</v>
      </c>
      <c r="P429" s="2" t="s">
        <v>22</v>
      </c>
    </row>
    <row r="430" spans="1:16" x14ac:dyDescent="0.3">
      <c r="A430" s="2">
        <f t="shared" si="35"/>
        <v>20250429</v>
      </c>
      <c r="B430" s="25">
        <v>45683</v>
      </c>
      <c r="C430" s="2" t="s">
        <v>486</v>
      </c>
      <c r="D430" s="2" t="s">
        <v>24</v>
      </c>
      <c r="E430" s="20" t="s">
        <v>887</v>
      </c>
      <c r="F430" s="20" t="s">
        <v>421</v>
      </c>
      <c r="G430" s="2" t="s">
        <v>43</v>
      </c>
      <c r="H430" s="3">
        <v>22</v>
      </c>
      <c r="I430" s="4">
        <v>16.16</v>
      </c>
      <c r="J430" s="5">
        <f t="shared" si="31"/>
        <v>355.52</v>
      </c>
      <c r="K430" s="6">
        <v>0.03</v>
      </c>
      <c r="L430" s="5">
        <f t="shared" si="32"/>
        <v>344.8544</v>
      </c>
      <c r="M430" s="4">
        <v>3</v>
      </c>
      <c r="N430" s="5">
        <f t="shared" si="33"/>
        <v>66</v>
      </c>
      <c r="O430" s="5">
        <f t="shared" si="34"/>
        <v>278.8544</v>
      </c>
      <c r="P430" s="2" t="s">
        <v>19</v>
      </c>
    </row>
    <row r="431" spans="1:16" x14ac:dyDescent="0.3">
      <c r="A431" s="2">
        <f t="shared" si="35"/>
        <v>20250430</v>
      </c>
      <c r="B431" s="25">
        <v>45683</v>
      </c>
      <c r="C431" s="2" t="s">
        <v>486</v>
      </c>
      <c r="D431" s="2" t="s">
        <v>28</v>
      </c>
      <c r="E431" s="20" t="s">
        <v>888</v>
      </c>
      <c r="F431" s="20" t="s">
        <v>422</v>
      </c>
      <c r="G431" s="2" t="s">
        <v>18</v>
      </c>
      <c r="H431" s="3">
        <v>92</v>
      </c>
      <c r="I431" s="4">
        <v>8.73</v>
      </c>
      <c r="J431" s="5">
        <f t="shared" ref="J431:J478" si="36">H431*I431</f>
        <v>803.16000000000008</v>
      </c>
      <c r="K431" s="6">
        <v>0.1</v>
      </c>
      <c r="L431" s="5">
        <f t="shared" ref="L431:L478" si="37">IF(P431="Returned",0,J431*(1-K431))</f>
        <v>0</v>
      </c>
      <c r="M431" s="4">
        <v>1</v>
      </c>
      <c r="N431" s="5">
        <f t="shared" ref="N431:N478" si="38">IF(P431="Returned",0,H431*M431)</f>
        <v>0</v>
      </c>
      <c r="O431" s="5">
        <f t="shared" ref="O431:O478" si="39">L431-N431</f>
        <v>0</v>
      </c>
      <c r="P431" s="2" t="s">
        <v>22</v>
      </c>
    </row>
    <row r="432" spans="1:16" x14ac:dyDescent="0.3">
      <c r="A432" s="2">
        <f t="shared" si="35"/>
        <v>20250431</v>
      </c>
      <c r="B432" s="25">
        <v>45683</v>
      </c>
      <c r="C432" s="2" t="s">
        <v>486</v>
      </c>
      <c r="D432" s="2" t="s">
        <v>16</v>
      </c>
      <c r="E432" s="20" t="s">
        <v>889</v>
      </c>
      <c r="F432" s="20" t="s">
        <v>423</v>
      </c>
      <c r="G432" s="2" t="s">
        <v>18</v>
      </c>
      <c r="H432" s="3">
        <v>17</v>
      </c>
      <c r="I432" s="4">
        <v>11.02</v>
      </c>
      <c r="J432" s="5">
        <f t="shared" si="36"/>
        <v>187.34</v>
      </c>
      <c r="K432" s="6">
        <v>0.03</v>
      </c>
      <c r="L432" s="5">
        <f t="shared" si="37"/>
        <v>181.71979999999999</v>
      </c>
      <c r="M432" s="4">
        <v>1</v>
      </c>
      <c r="N432" s="5">
        <f t="shared" si="38"/>
        <v>17</v>
      </c>
      <c r="O432" s="5">
        <f t="shared" si="39"/>
        <v>164.71979999999999</v>
      </c>
      <c r="P432" s="2" t="s">
        <v>19</v>
      </c>
    </row>
    <row r="433" spans="1:16" x14ac:dyDescent="0.3">
      <c r="A433" s="2">
        <f t="shared" si="35"/>
        <v>20250432</v>
      </c>
      <c r="B433" s="25">
        <v>45683</v>
      </c>
      <c r="C433" s="2" t="s">
        <v>486</v>
      </c>
      <c r="D433" s="2" t="s">
        <v>24</v>
      </c>
      <c r="E433" s="20" t="s">
        <v>789</v>
      </c>
      <c r="F433" s="20" t="s">
        <v>424</v>
      </c>
      <c r="G433" s="2" t="s">
        <v>27</v>
      </c>
      <c r="H433" s="3">
        <v>12</v>
      </c>
      <c r="I433" s="4">
        <v>45.12</v>
      </c>
      <c r="J433" s="5">
        <f t="shared" si="36"/>
        <v>541.43999999999994</v>
      </c>
      <c r="K433" s="6">
        <v>0.02</v>
      </c>
      <c r="L433" s="5">
        <f t="shared" si="37"/>
        <v>0</v>
      </c>
      <c r="M433" s="4">
        <v>24</v>
      </c>
      <c r="N433" s="5">
        <f t="shared" si="38"/>
        <v>0</v>
      </c>
      <c r="O433" s="5">
        <f t="shared" si="39"/>
        <v>0</v>
      </c>
      <c r="P433" s="2" t="s">
        <v>22</v>
      </c>
    </row>
    <row r="434" spans="1:16" x14ac:dyDescent="0.3">
      <c r="A434" s="2">
        <f t="shared" si="35"/>
        <v>20250433</v>
      </c>
      <c r="B434" s="25">
        <v>45683</v>
      </c>
      <c r="C434" s="2" t="s">
        <v>486</v>
      </c>
      <c r="D434" s="2" t="s">
        <v>28</v>
      </c>
      <c r="E434" s="20" t="s">
        <v>890</v>
      </c>
      <c r="F434" s="20" t="s">
        <v>425</v>
      </c>
      <c r="G434" s="2" t="s">
        <v>21</v>
      </c>
      <c r="H434" s="3">
        <v>94</v>
      </c>
      <c r="I434" s="4">
        <v>24.45</v>
      </c>
      <c r="J434" s="5">
        <f t="shared" si="36"/>
        <v>2298.2999999999997</v>
      </c>
      <c r="K434" s="6">
        <v>0.15</v>
      </c>
      <c r="L434" s="5">
        <f t="shared" si="37"/>
        <v>0</v>
      </c>
      <c r="M434" s="4">
        <v>15</v>
      </c>
      <c r="N434" s="5">
        <f t="shared" si="38"/>
        <v>0</v>
      </c>
      <c r="O434" s="5">
        <f t="shared" si="39"/>
        <v>0</v>
      </c>
      <c r="P434" s="2" t="s">
        <v>22</v>
      </c>
    </row>
    <row r="435" spans="1:16" x14ac:dyDescent="0.3">
      <c r="A435" s="2">
        <f t="shared" si="35"/>
        <v>20250434</v>
      </c>
      <c r="B435" s="25">
        <v>45683</v>
      </c>
      <c r="C435" s="2" t="s">
        <v>486</v>
      </c>
      <c r="D435" s="2" t="s">
        <v>16</v>
      </c>
      <c r="E435" s="20" t="s">
        <v>891</v>
      </c>
      <c r="F435" s="20" t="s">
        <v>426</v>
      </c>
      <c r="G435" s="2" t="s">
        <v>43</v>
      </c>
      <c r="H435" s="3">
        <v>24</v>
      </c>
      <c r="I435" s="4">
        <v>17.53</v>
      </c>
      <c r="J435" s="5">
        <f t="shared" si="36"/>
        <v>420.72</v>
      </c>
      <c r="K435" s="6">
        <v>0.02</v>
      </c>
      <c r="L435" s="5">
        <f t="shared" si="37"/>
        <v>412.30560000000003</v>
      </c>
      <c r="M435" s="4">
        <v>3</v>
      </c>
      <c r="N435" s="5">
        <f t="shared" si="38"/>
        <v>72</v>
      </c>
      <c r="O435" s="5">
        <f t="shared" si="39"/>
        <v>340.30560000000003</v>
      </c>
      <c r="P435" s="2" t="s">
        <v>19</v>
      </c>
    </row>
    <row r="436" spans="1:16" x14ac:dyDescent="0.3">
      <c r="A436" s="2">
        <f t="shared" si="35"/>
        <v>20250435</v>
      </c>
      <c r="B436" s="25">
        <v>45683</v>
      </c>
      <c r="C436" s="2" t="s">
        <v>486</v>
      </c>
      <c r="D436" s="2" t="s">
        <v>24</v>
      </c>
      <c r="E436" s="20" t="s">
        <v>892</v>
      </c>
      <c r="F436" s="20" t="s">
        <v>427</v>
      </c>
      <c r="G436" s="2" t="s">
        <v>18</v>
      </c>
      <c r="H436" s="3">
        <v>21</v>
      </c>
      <c r="I436" s="4">
        <v>10.53</v>
      </c>
      <c r="J436" s="5">
        <f t="shared" si="36"/>
        <v>221.13</v>
      </c>
      <c r="K436" s="6">
        <v>0</v>
      </c>
      <c r="L436" s="5">
        <f t="shared" si="37"/>
        <v>221.13</v>
      </c>
      <c r="M436" s="4">
        <v>1</v>
      </c>
      <c r="N436" s="5">
        <f t="shared" si="38"/>
        <v>21</v>
      </c>
      <c r="O436" s="5">
        <f t="shared" si="39"/>
        <v>200.13</v>
      </c>
      <c r="P436" s="2" t="s">
        <v>19</v>
      </c>
    </row>
    <row r="437" spans="1:16" x14ac:dyDescent="0.3">
      <c r="A437" s="2">
        <f t="shared" si="35"/>
        <v>20250436</v>
      </c>
      <c r="B437" s="25">
        <v>45683</v>
      </c>
      <c r="C437" s="2" t="s">
        <v>486</v>
      </c>
      <c r="D437" s="2" t="s">
        <v>28</v>
      </c>
      <c r="E437" s="20" t="s">
        <v>893</v>
      </c>
      <c r="F437" s="20" t="s">
        <v>428</v>
      </c>
      <c r="G437" s="2" t="s">
        <v>27</v>
      </c>
      <c r="H437" s="3">
        <v>72</v>
      </c>
      <c r="I437" s="4">
        <v>39.090000000000003</v>
      </c>
      <c r="J437" s="5">
        <f t="shared" si="36"/>
        <v>2814.4800000000005</v>
      </c>
      <c r="K437" s="6">
        <v>0.15</v>
      </c>
      <c r="L437" s="5">
        <f t="shared" si="37"/>
        <v>2392.3080000000004</v>
      </c>
      <c r="M437" s="4">
        <v>24</v>
      </c>
      <c r="N437" s="5">
        <f t="shared" si="38"/>
        <v>1728</v>
      </c>
      <c r="O437" s="5">
        <f t="shared" si="39"/>
        <v>664.30800000000045</v>
      </c>
      <c r="P437" s="2" t="s">
        <v>19</v>
      </c>
    </row>
    <row r="438" spans="1:16" x14ac:dyDescent="0.3">
      <c r="A438" s="2">
        <f t="shared" si="35"/>
        <v>20250437</v>
      </c>
      <c r="B438" s="25">
        <v>45683</v>
      </c>
      <c r="C438" s="2" t="s">
        <v>486</v>
      </c>
      <c r="D438" s="2" t="s">
        <v>16</v>
      </c>
      <c r="E438" s="20" t="s">
        <v>894</v>
      </c>
      <c r="F438" s="20" t="s">
        <v>429</v>
      </c>
      <c r="G438" s="2" t="s">
        <v>43</v>
      </c>
      <c r="H438" s="3">
        <v>17</v>
      </c>
      <c r="I438" s="4">
        <v>16.5</v>
      </c>
      <c r="J438" s="5">
        <f t="shared" si="36"/>
        <v>280.5</v>
      </c>
      <c r="K438" s="6">
        <v>0</v>
      </c>
      <c r="L438" s="5">
        <f t="shared" si="37"/>
        <v>0</v>
      </c>
      <c r="M438" s="4">
        <v>3</v>
      </c>
      <c r="N438" s="5">
        <f t="shared" si="38"/>
        <v>0</v>
      </c>
      <c r="O438" s="5">
        <f t="shared" si="39"/>
        <v>0</v>
      </c>
      <c r="P438" s="2" t="s">
        <v>22</v>
      </c>
    </row>
    <row r="439" spans="1:16" x14ac:dyDescent="0.3">
      <c r="A439" s="2">
        <f t="shared" si="35"/>
        <v>20250438</v>
      </c>
      <c r="B439" s="25">
        <v>45683</v>
      </c>
      <c r="C439" s="2" t="s">
        <v>486</v>
      </c>
      <c r="D439" s="2" t="s">
        <v>16</v>
      </c>
      <c r="E439" s="20" t="s">
        <v>981</v>
      </c>
      <c r="F439" s="20" t="s">
        <v>430</v>
      </c>
      <c r="G439" s="2" t="s">
        <v>27</v>
      </c>
      <c r="H439" s="3">
        <v>11</v>
      </c>
      <c r="I439" s="4">
        <v>47.87</v>
      </c>
      <c r="J439" s="5">
        <f t="shared" si="36"/>
        <v>526.56999999999994</v>
      </c>
      <c r="K439" s="6">
        <v>7.0000000000000007E-2</v>
      </c>
      <c r="L439" s="5">
        <f t="shared" si="37"/>
        <v>489.7100999999999</v>
      </c>
      <c r="M439" s="4">
        <v>24</v>
      </c>
      <c r="N439" s="5">
        <f t="shared" si="38"/>
        <v>264</v>
      </c>
      <c r="O439" s="5">
        <f t="shared" si="39"/>
        <v>225.7100999999999</v>
      </c>
      <c r="P439" s="2" t="s">
        <v>19</v>
      </c>
    </row>
    <row r="440" spans="1:16" x14ac:dyDescent="0.3">
      <c r="A440" s="2">
        <f t="shared" si="35"/>
        <v>20250439</v>
      </c>
      <c r="B440" s="25">
        <v>45683</v>
      </c>
      <c r="C440" s="2" t="s">
        <v>486</v>
      </c>
      <c r="D440" s="2" t="s">
        <v>28</v>
      </c>
      <c r="E440" s="20" t="s">
        <v>895</v>
      </c>
      <c r="F440" s="20" t="s">
        <v>431</v>
      </c>
      <c r="G440" s="2" t="s">
        <v>32</v>
      </c>
      <c r="H440" s="3">
        <v>15</v>
      </c>
      <c r="I440" s="4">
        <v>18.25</v>
      </c>
      <c r="J440" s="5">
        <f t="shared" si="36"/>
        <v>273.75</v>
      </c>
      <c r="K440" s="6">
        <v>0.15</v>
      </c>
      <c r="L440" s="5">
        <f t="shared" si="37"/>
        <v>0</v>
      </c>
      <c r="M440" s="4">
        <v>9.5</v>
      </c>
      <c r="N440" s="5">
        <f t="shared" si="38"/>
        <v>0</v>
      </c>
      <c r="O440" s="5">
        <f t="shared" si="39"/>
        <v>0</v>
      </c>
      <c r="P440" s="2" t="s">
        <v>22</v>
      </c>
    </row>
    <row r="441" spans="1:16" x14ac:dyDescent="0.3">
      <c r="A441" s="2">
        <f t="shared" si="35"/>
        <v>20250440</v>
      </c>
      <c r="B441" s="25">
        <v>45683</v>
      </c>
      <c r="C441" s="2" t="s">
        <v>486</v>
      </c>
      <c r="D441" s="2" t="s">
        <v>28</v>
      </c>
      <c r="E441" s="20" t="s">
        <v>896</v>
      </c>
      <c r="F441" s="20" t="s">
        <v>432</v>
      </c>
      <c r="G441" s="2" t="s">
        <v>21</v>
      </c>
      <c r="H441" s="3">
        <v>6</v>
      </c>
      <c r="I441" s="4">
        <v>25.87</v>
      </c>
      <c r="J441" s="5">
        <f t="shared" si="36"/>
        <v>155.22</v>
      </c>
      <c r="K441" s="6">
        <v>0.08</v>
      </c>
      <c r="L441" s="5">
        <f t="shared" si="37"/>
        <v>142.80240000000001</v>
      </c>
      <c r="M441" s="4">
        <v>15</v>
      </c>
      <c r="N441" s="5">
        <f t="shared" si="38"/>
        <v>90</v>
      </c>
      <c r="O441" s="5">
        <f t="shared" si="39"/>
        <v>52.802400000000006</v>
      </c>
      <c r="P441" s="2" t="s">
        <v>19</v>
      </c>
    </row>
    <row r="442" spans="1:16" x14ac:dyDescent="0.3">
      <c r="A442" s="2">
        <f t="shared" si="35"/>
        <v>20250441</v>
      </c>
      <c r="B442" s="25">
        <v>45684</v>
      </c>
      <c r="C442" s="2" t="s">
        <v>486</v>
      </c>
      <c r="D442" s="2" t="s">
        <v>16</v>
      </c>
      <c r="E442" s="20" t="s">
        <v>897</v>
      </c>
      <c r="F442" s="20" t="s">
        <v>433</v>
      </c>
      <c r="G442" s="2" t="s">
        <v>27</v>
      </c>
      <c r="H442" s="3">
        <v>7</v>
      </c>
      <c r="I442" s="4">
        <v>50.07</v>
      </c>
      <c r="J442" s="5">
        <f t="shared" si="36"/>
        <v>350.49</v>
      </c>
      <c r="K442" s="6">
        <v>0.03</v>
      </c>
      <c r="L442" s="5">
        <f t="shared" si="37"/>
        <v>339.9753</v>
      </c>
      <c r="M442" s="4">
        <v>24</v>
      </c>
      <c r="N442" s="5">
        <f t="shared" si="38"/>
        <v>168</v>
      </c>
      <c r="O442" s="5">
        <f t="shared" si="39"/>
        <v>171.9753</v>
      </c>
      <c r="P442" s="2" t="s">
        <v>19</v>
      </c>
    </row>
    <row r="443" spans="1:16" x14ac:dyDescent="0.3">
      <c r="A443" s="2">
        <f t="shared" si="35"/>
        <v>20250442</v>
      </c>
      <c r="B443" s="25">
        <v>45684</v>
      </c>
      <c r="C443" s="2" t="s">
        <v>486</v>
      </c>
      <c r="D443" s="2" t="s">
        <v>28</v>
      </c>
      <c r="E443" s="20" t="s">
        <v>898</v>
      </c>
      <c r="F443" s="20" t="s">
        <v>434</v>
      </c>
      <c r="G443" s="2" t="s">
        <v>43</v>
      </c>
      <c r="H443" s="3">
        <v>20</v>
      </c>
      <c r="I443" s="4">
        <v>14.95</v>
      </c>
      <c r="J443" s="5">
        <f t="shared" si="36"/>
        <v>299</v>
      </c>
      <c r="K443" s="6">
        <v>0.1</v>
      </c>
      <c r="L443" s="5">
        <f t="shared" si="37"/>
        <v>0</v>
      </c>
      <c r="M443" s="4">
        <v>3</v>
      </c>
      <c r="N443" s="5">
        <f t="shared" si="38"/>
        <v>0</v>
      </c>
      <c r="O443" s="5">
        <f t="shared" si="39"/>
        <v>0</v>
      </c>
      <c r="P443" s="2" t="s">
        <v>22</v>
      </c>
    </row>
    <row r="444" spans="1:16" x14ac:dyDescent="0.3">
      <c r="A444" s="2">
        <f t="shared" si="35"/>
        <v>20250443</v>
      </c>
      <c r="B444" s="25">
        <v>45684</v>
      </c>
      <c r="C444" s="2" t="s">
        <v>486</v>
      </c>
      <c r="D444" s="2" t="s">
        <v>28</v>
      </c>
      <c r="E444" s="20" t="s">
        <v>899</v>
      </c>
      <c r="F444" s="20" t="s">
        <v>435</v>
      </c>
      <c r="G444" s="2" t="s">
        <v>43</v>
      </c>
      <c r="H444" s="3">
        <v>13</v>
      </c>
      <c r="I444" s="4">
        <v>15.87</v>
      </c>
      <c r="J444" s="5">
        <f t="shared" si="36"/>
        <v>206.31</v>
      </c>
      <c r="K444" s="6">
        <v>0.05</v>
      </c>
      <c r="L444" s="5">
        <f t="shared" si="37"/>
        <v>195.99449999999999</v>
      </c>
      <c r="M444" s="4">
        <v>3</v>
      </c>
      <c r="N444" s="5">
        <f t="shared" si="38"/>
        <v>39</v>
      </c>
      <c r="O444" s="5">
        <f t="shared" si="39"/>
        <v>156.99449999999999</v>
      </c>
      <c r="P444" s="2" t="s">
        <v>19</v>
      </c>
    </row>
    <row r="445" spans="1:16" x14ac:dyDescent="0.3">
      <c r="A445" s="2">
        <f t="shared" si="35"/>
        <v>20250444</v>
      </c>
      <c r="B445" s="25">
        <v>45684</v>
      </c>
      <c r="C445" s="2" t="s">
        <v>486</v>
      </c>
      <c r="D445" s="2" t="s">
        <v>28</v>
      </c>
      <c r="E445" s="20" t="s">
        <v>783</v>
      </c>
      <c r="F445" s="20" t="s">
        <v>436</v>
      </c>
      <c r="G445" s="2" t="s">
        <v>27</v>
      </c>
      <c r="H445" s="3">
        <v>32</v>
      </c>
      <c r="I445" s="4">
        <v>42.46</v>
      </c>
      <c r="J445" s="5">
        <f t="shared" si="36"/>
        <v>1358.72</v>
      </c>
      <c r="K445" s="6">
        <v>0.15</v>
      </c>
      <c r="L445" s="5">
        <f t="shared" si="37"/>
        <v>1154.912</v>
      </c>
      <c r="M445" s="4">
        <v>24</v>
      </c>
      <c r="N445" s="5">
        <f t="shared" si="38"/>
        <v>768</v>
      </c>
      <c r="O445" s="5">
        <f t="shared" si="39"/>
        <v>386.91200000000003</v>
      </c>
      <c r="P445" s="2" t="s">
        <v>19</v>
      </c>
    </row>
    <row r="446" spans="1:16" x14ac:dyDescent="0.3">
      <c r="A446" s="2">
        <f t="shared" si="35"/>
        <v>20250445</v>
      </c>
      <c r="B446" s="25">
        <v>45684</v>
      </c>
      <c r="C446" s="2" t="s">
        <v>486</v>
      </c>
      <c r="D446" s="2" t="s">
        <v>28</v>
      </c>
      <c r="E446" s="20" t="s">
        <v>900</v>
      </c>
      <c r="F446" s="20" t="s">
        <v>437</v>
      </c>
      <c r="G446" s="2" t="s">
        <v>27</v>
      </c>
      <c r="H446" s="3">
        <v>16</v>
      </c>
      <c r="I446" s="4">
        <v>41.79</v>
      </c>
      <c r="J446" s="5">
        <f t="shared" si="36"/>
        <v>668.64</v>
      </c>
      <c r="K446" s="6">
        <v>0.15</v>
      </c>
      <c r="L446" s="5">
        <f t="shared" si="37"/>
        <v>568.34399999999994</v>
      </c>
      <c r="M446" s="4">
        <v>24</v>
      </c>
      <c r="N446" s="5">
        <f t="shared" si="38"/>
        <v>384</v>
      </c>
      <c r="O446" s="5">
        <f t="shared" si="39"/>
        <v>184.34399999999994</v>
      </c>
      <c r="P446" s="2" t="s">
        <v>19</v>
      </c>
    </row>
    <row r="447" spans="1:16" x14ac:dyDescent="0.3">
      <c r="A447" s="2">
        <f t="shared" si="35"/>
        <v>20250446</v>
      </c>
      <c r="B447" s="25">
        <v>45684</v>
      </c>
      <c r="C447" s="2" t="s">
        <v>486</v>
      </c>
      <c r="D447" s="2" t="s">
        <v>28</v>
      </c>
      <c r="E447" s="20" t="s">
        <v>901</v>
      </c>
      <c r="F447" s="20" t="s">
        <v>438</v>
      </c>
      <c r="G447" s="2" t="s">
        <v>43</v>
      </c>
      <c r="H447" s="3">
        <v>2</v>
      </c>
      <c r="I447" s="4">
        <v>16.329999999999998</v>
      </c>
      <c r="J447" s="5">
        <f t="shared" si="36"/>
        <v>32.659999999999997</v>
      </c>
      <c r="K447" s="6">
        <v>0.12</v>
      </c>
      <c r="L447" s="5">
        <f t="shared" si="37"/>
        <v>0</v>
      </c>
      <c r="M447" s="4">
        <v>3</v>
      </c>
      <c r="N447" s="5">
        <f t="shared" si="38"/>
        <v>0</v>
      </c>
      <c r="O447" s="5">
        <f t="shared" si="39"/>
        <v>0</v>
      </c>
      <c r="P447" s="2" t="s">
        <v>22</v>
      </c>
    </row>
    <row r="448" spans="1:16" x14ac:dyDescent="0.3">
      <c r="A448" s="2">
        <f t="shared" si="35"/>
        <v>20250447</v>
      </c>
      <c r="B448" s="25">
        <v>45684</v>
      </c>
      <c r="C448" s="2" t="s">
        <v>486</v>
      </c>
      <c r="D448" s="2" t="s">
        <v>24</v>
      </c>
      <c r="E448" s="20" t="s">
        <v>830</v>
      </c>
      <c r="F448" s="20" t="s">
        <v>439</v>
      </c>
      <c r="G448" s="2" t="s">
        <v>43</v>
      </c>
      <c r="H448" s="3">
        <v>5</v>
      </c>
      <c r="I448" s="4">
        <v>18.63</v>
      </c>
      <c r="J448" s="5">
        <f t="shared" si="36"/>
        <v>93.149999999999991</v>
      </c>
      <c r="K448" s="6">
        <v>0.03</v>
      </c>
      <c r="L448" s="5">
        <f t="shared" si="37"/>
        <v>90.355499999999992</v>
      </c>
      <c r="M448" s="4">
        <v>3</v>
      </c>
      <c r="N448" s="5">
        <f t="shared" si="38"/>
        <v>15</v>
      </c>
      <c r="O448" s="5">
        <f t="shared" si="39"/>
        <v>75.355499999999992</v>
      </c>
      <c r="P448" s="2" t="s">
        <v>19</v>
      </c>
    </row>
    <row r="449" spans="1:16" x14ac:dyDescent="0.3">
      <c r="A449" s="2">
        <f t="shared" si="35"/>
        <v>20250448</v>
      </c>
      <c r="B449" s="25">
        <v>45684</v>
      </c>
      <c r="C449" s="2" t="s">
        <v>486</v>
      </c>
      <c r="D449" s="2" t="s">
        <v>24</v>
      </c>
      <c r="E449" s="20" t="s">
        <v>902</v>
      </c>
      <c r="F449" s="20" t="s">
        <v>440</v>
      </c>
      <c r="G449" s="2" t="s">
        <v>43</v>
      </c>
      <c r="H449" s="3">
        <v>23</v>
      </c>
      <c r="I449" s="4">
        <v>16.63</v>
      </c>
      <c r="J449" s="5">
        <f t="shared" si="36"/>
        <v>382.48999999999995</v>
      </c>
      <c r="K449" s="6">
        <v>0</v>
      </c>
      <c r="L449" s="5">
        <f t="shared" si="37"/>
        <v>382.48999999999995</v>
      </c>
      <c r="M449" s="4">
        <v>3</v>
      </c>
      <c r="N449" s="5">
        <f t="shared" si="38"/>
        <v>69</v>
      </c>
      <c r="O449" s="5">
        <f t="shared" si="39"/>
        <v>313.48999999999995</v>
      </c>
      <c r="P449" s="2" t="s">
        <v>19</v>
      </c>
    </row>
    <row r="450" spans="1:16" x14ac:dyDescent="0.3">
      <c r="A450" s="2">
        <f t="shared" si="35"/>
        <v>20250449</v>
      </c>
      <c r="B450" s="25">
        <v>45684</v>
      </c>
      <c r="C450" s="2" t="s">
        <v>486</v>
      </c>
      <c r="D450" s="2" t="s">
        <v>28</v>
      </c>
      <c r="E450" s="20" t="s">
        <v>903</v>
      </c>
      <c r="F450" s="20" t="s">
        <v>441</v>
      </c>
      <c r="G450" s="2" t="s">
        <v>21</v>
      </c>
      <c r="H450" s="3">
        <v>62</v>
      </c>
      <c r="I450" s="4">
        <v>27.82</v>
      </c>
      <c r="J450" s="5">
        <f t="shared" si="36"/>
        <v>1724.84</v>
      </c>
      <c r="K450" s="6">
        <v>0.08</v>
      </c>
      <c r="L450" s="5">
        <f t="shared" si="37"/>
        <v>1586.8527999999999</v>
      </c>
      <c r="M450" s="4">
        <v>15</v>
      </c>
      <c r="N450" s="5">
        <f t="shared" si="38"/>
        <v>930</v>
      </c>
      <c r="O450" s="5">
        <f t="shared" si="39"/>
        <v>656.85279999999989</v>
      </c>
      <c r="P450" s="2" t="s">
        <v>19</v>
      </c>
    </row>
    <row r="451" spans="1:16" x14ac:dyDescent="0.3">
      <c r="A451" s="2">
        <f t="shared" si="35"/>
        <v>20250450</v>
      </c>
      <c r="B451" s="25">
        <v>45684</v>
      </c>
      <c r="C451" s="2" t="s">
        <v>486</v>
      </c>
      <c r="D451" s="2" t="s">
        <v>28</v>
      </c>
      <c r="E451" s="20" t="s">
        <v>904</v>
      </c>
      <c r="F451" s="20" t="s">
        <v>442</v>
      </c>
      <c r="G451" s="2" t="s">
        <v>18</v>
      </c>
      <c r="H451" s="3">
        <v>20</v>
      </c>
      <c r="I451" s="4">
        <v>8.91</v>
      </c>
      <c r="J451" s="5">
        <f t="shared" si="36"/>
        <v>178.2</v>
      </c>
      <c r="K451" s="6">
        <v>0.12</v>
      </c>
      <c r="L451" s="5">
        <f t="shared" si="37"/>
        <v>0</v>
      </c>
      <c r="M451" s="4">
        <v>1</v>
      </c>
      <c r="N451" s="5">
        <f t="shared" si="38"/>
        <v>0</v>
      </c>
      <c r="O451" s="5">
        <f t="shared" si="39"/>
        <v>0</v>
      </c>
      <c r="P451" s="2" t="s">
        <v>22</v>
      </c>
    </row>
    <row r="452" spans="1:16" x14ac:dyDescent="0.3">
      <c r="A452" s="2">
        <f t="shared" ref="A452:A468" si="40">A451+1</f>
        <v>20250451</v>
      </c>
      <c r="B452" s="25">
        <v>45684</v>
      </c>
      <c r="C452" s="2" t="s">
        <v>486</v>
      </c>
      <c r="D452" s="2" t="s">
        <v>28</v>
      </c>
      <c r="E452" s="20" t="s">
        <v>905</v>
      </c>
      <c r="F452" s="20" t="s">
        <v>443</v>
      </c>
      <c r="G452" s="2" t="s">
        <v>27</v>
      </c>
      <c r="H452" s="3">
        <v>81</v>
      </c>
      <c r="I452" s="4">
        <v>44.37</v>
      </c>
      <c r="J452" s="5">
        <f t="shared" si="36"/>
        <v>3593.97</v>
      </c>
      <c r="K452" s="6">
        <v>0.1</v>
      </c>
      <c r="L452" s="5">
        <f t="shared" si="37"/>
        <v>3234.5729999999999</v>
      </c>
      <c r="M452" s="4">
        <v>24</v>
      </c>
      <c r="N452" s="5">
        <f t="shared" si="38"/>
        <v>1944</v>
      </c>
      <c r="O452" s="5">
        <f t="shared" si="39"/>
        <v>1290.5729999999999</v>
      </c>
      <c r="P452" s="2" t="s">
        <v>19</v>
      </c>
    </row>
    <row r="453" spans="1:16" x14ac:dyDescent="0.3">
      <c r="A453" s="2">
        <f t="shared" si="40"/>
        <v>20250452</v>
      </c>
      <c r="B453" s="25">
        <v>45684</v>
      </c>
      <c r="C453" s="2" t="s">
        <v>486</v>
      </c>
      <c r="D453" s="2" t="s">
        <v>16</v>
      </c>
      <c r="E453" s="20" t="s">
        <v>906</v>
      </c>
      <c r="F453" s="20" t="s">
        <v>444</v>
      </c>
      <c r="G453" s="2" t="s">
        <v>43</v>
      </c>
      <c r="H453" s="3">
        <v>15</v>
      </c>
      <c r="I453" s="4">
        <v>16.63</v>
      </c>
      <c r="J453" s="5">
        <f t="shared" si="36"/>
        <v>249.45</v>
      </c>
      <c r="K453" s="6">
        <v>0</v>
      </c>
      <c r="L453" s="5">
        <f t="shared" si="37"/>
        <v>249.45</v>
      </c>
      <c r="M453" s="4">
        <v>3</v>
      </c>
      <c r="N453" s="5">
        <f t="shared" si="38"/>
        <v>45</v>
      </c>
      <c r="O453" s="5">
        <f t="shared" si="39"/>
        <v>204.45</v>
      </c>
      <c r="P453" s="2" t="s">
        <v>19</v>
      </c>
    </row>
    <row r="454" spans="1:16" x14ac:dyDescent="0.3">
      <c r="A454" s="2">
        <f t="shared" si="40"/>
        <v>20250453</v>
      </c>
      <c r="B454" s="25">
        <v>45684</v>
      </c>
      <c r="C454" s="2" t="s">
        <v>486</v>
      </c>
      <c r="D454" s="2" t="s">
        <v>28</v>
      </c>
      <c r="E454" s="20" t="s">
        <v>907</v>
      </c>
      <c r="F454" s="20" t="s">
        <v>982</v>
      </c>
      <c r="G454" s="2" t="s">
        <v>18</v>
      </c>
      <c r="H454" s="3">
        <v>13</v>
      </c>
      <c r="I454" s="4">
        <v>9.14</v>
      </c>
      <c r="J454" s="5">
        <f t="shared" si="36"/>
        <v>118.82000000000001</v>
      </c>
      <c r="K454" s="6">
        <v>0.05</v>
      </c>
      <c r="L454" s="5">
        <f t="shared" si="37"/>
        <v>112.879</v>
      </c>
      <c r="M454" s="4">
        <v>1</v>
      </c>
      <c r="N454" s="5">
        <f t="shared" si="38"/>
        <v>13</v>
      </c>
      <c r="O454" s="5">
        <f t="shared" si="39"/>
        <v>99.879000000000005</v>
      </c>
      <c r="P454" s="2" t="s">
        <v>19</v>
      </c>
    </row>
    <row r="455" spans="1:16" x14ac:dyDescent="0.3">
      <c r="A455" s="2">
        <f t="shared" si="40"/>
        <v>20250454</v>
      </c>
      <c r="B455" s="25">
        <v>45684</v>
      </c>
      <c r="C455" s="2" t="s">
        <v>486</v>
      </c>
      <c r="D455" s="2" t="s">
        <v>28</v>
      </c>
      <c r="E455" s="20" t="s">
        <v>708</v>
      </c>
      <c r="F455" s="20" t="s">
        <v>445</v>
      </c>
      <c r="G455" s="2" t="s">
        <v>27</v>
      </c>
      <c r="H455" s="3">
        <v>43</v>
      </c>
      <c r="I455" s="4">
        <v>48.4</v>
      </c>
      <c r="J455" s="5">
        <f t="shared" si="36"/>
        <v>2081.1999999999998</v>
      </c>
      <c r="K455" s="6">
        <v>0.05</v>
      </c>
      <c r="L455" s="5">
        <f t="shared" si="37"/>
        <v>1977.1399999999996</v>
      </c>
      <c r="M455" s="4">
        <v>24</v>
      </c>
      <c r="N455" s="5">
        <f t="shared" si="38"/>
        <v>1032</v>
      </c>
      <c r="O455" s="5">
        <f t="shared" si="39"/>
        <v>945.13999999999965</v>
      </c>
      <c r="P455" s="2" t="s">
        <v>19</v>
      </c>
    </row>
    <row r="456" spans="1:16" x14ac:dyDescent="0.3">
      <c r="A456" s="2">
        <f t="shared" si="40"/>
        <v>20250455</v>
      </c>
      <c r="B456" s="25">
        <v>45684</v>
      </c>
      <c r="C456" s="2" t="s">
        <v>486</v>
      </c>
      <c r="D456" s="2" t="s">
        <v>28</v>
      </c>
      <c r="E456" s="20" t="s">
        <v>908</v>
      </c>
      <c r="F456" s="20" t="s">
        <v>446</v>
      </c>
      <c r="G456" s="2" t="s">
        <v>43</v>
      </c>
      <c r="H456" s="3">
        <v>25</v>
      </c>
      <c r="I456" s="4">
        <v>12.7</v>
      </c>
      <c r="J456" s="5">
        <f t="shared" si="36"/>
        <v>317.5</v>
      </c>
      <c r="K456" s="6">
        <v>0.12</v>
      </c>
      <c r="L456" s="5">
        <f t="shared" si="37"/>
        <v>279.39999999999998</v>
      </c>
      <c r="M456" s="4">
        <v>3</v>
      </c>
      <c r="N456" s="5">
        <f t="shared" si="38"/>
        <v>75</v>
      </c>
      <c r="O456" s="5">
        <f t="shared" si="39"/>
        <v>204.39999999999998</v>
      </c>
      <c r="P456" s="2" t="s">
        <v>19</v>
      </c>
    </row>
    <row r="457" spans="1:16" x14ac:dyDescent="0.3">
      <c r="A457" s="2">
        <f t="shared" si="40"/>
        <v>20250456</v>
      </c>
      <c r="B457" s="25">
        <v>45684</v>
      </c>
      <c r="C457" s="2" t="s">
        <v>486</v>
      </c>
      <c r="D457" s="2" t="s">
        <v>24</v>
      </c>
      <c r="E457" s="20" t="s">
        <v>909</v>
      </c>
      <c r="F457" s="20" t="s">
        <v>447</v>
      </c>
      <c r="G457" s="2" t="s">
        <v>27</v>
      </c>
      <c r="H457" s="3">
        <v>20</v>
      </c>
      <c r="I457" s="4">
        <v>45.81</v>
      </c>
      <c r="J457" s="5">
        <f t="shared" si="36"/>
        <v>916.2</v>
      </c>
      <c r="K457" s="6">
        <v>0</v>
      </c>
      <c r="L457" s="5">
        <f t="shared" si="37"/>
        <v>916.2</v>
      </c>
      <c r="M457" s="4">
        <v>24</v>
      </c>
      <c r="N457" s="5">
        <f t="shared" si="38"/>
        <v>480</v>
      </c>
      <c r="O457" s="5">
        <f t="shared" si="39"/>
        <v>436.20000000000005</v>
      </c>
      <c r="P457" s="2" t="s">
        <v>19</v>
      </c>
    </row>
    <row r="458" spans="1:16" x14ac:dyDescent="0.3">
      <c r="A458" s="2">
        <f t="shared" si="40"/>
        <v>20250457</v>
      </c>
      <c r="B458" s="25">
        <v>45685</v>
      </c>
      <c r="C458" s="2" t="s">
        <v>486</v>
      </c>
      <c r="D458" s="2" t="s">
        <v>16</v>
      </c>
      <c r="E458" s="20" t="s">
        <v>910</v>
      </c>
      <c r="F458" s="20" t="s">
        <v>448</v>
      </c>
      <c r="G458" s="2" t="s">
        <v>18</v>
      </c>
      <c r="H458" s="3">
        <v>3</v>
      </c>
      <c r="I458" s="4">
        <v>9.36</v>
      </c>
      <c r="J458" s="5">
        <f t="shared" si="36"/>
        <v>28.08</v>
      </c>
      <c r="K458" s="6">
        <v>0.03</v>
      </c>
      <c r="L458" s="5">
        <f t="shared" si="37"/>
        <v>27.237599999999997</v>
      </c>
      <c r="M458" s="4">
        <v>1</v>
      </c>
      <c r="N458" s="5">
        <f t="shared" si="38"/>
        <v>3</v>
      </c>
      <c r="O458" s="5">
        <f t="shared" si="39"/>
        <v>24.237599999999997</v>
      </c>
      <c r="P458" s="2" t="s">
        <v>19</v>
      </c>
    </row>
    <row r="459" spans="1:16" x14ac:dyDescent="0.3">
      <c r="A459" s="2">
        <f t="shared" si="40"/>
        <v>20250458</v>
      </c>
      <c r="B459" s="25">
        <v>45685</v>
      </c>
      <c r="C459" s="2" t="s">
        <v>486</v>
      </c>
      <c r="D459" s="2" t="s">
        <v>16</v>
      </c>
      <c r="E459" s="20" t="s">
        <v>632</v>
      </c>
      <c r="F459" s="20" t="s">
        <v>983</v>
      </c>
      <c r="G459" s="2" t="s">
        <v>27</v>
      </c>
      <c r="H459" s="3">
        <v>3</v>
      </c>
      <c r="I459" s="4">
        <v>50.11</v>
      </c>
      <c r="J459" s="5">
        <f t="shared" si="36"/>
        <v>150.32999999999998</v>
      </c>
      <c r="K459" s="6">
        <v>0.02</v>
      </c>
      <c r="L459" s="5">
        <f t="shared" si="37"/>
        <v>147.32339999999999</v>
      </c>
      <c r="M459" s="4">
        <v>24</v>
      </c>
      <c r="N459" s="5">
        <f t="shared" si="38"/>
        <v>72</v>
      </c>
      <c r="O459" s="5">
        <f t="shared" si="39"/>
        <v>75.323399999999992</v>
      </c>
      <c r="P459" s="2" t="s">
        <v>19</v>
      </c>
    </row>
    <row r="460" spans="1:16" x14ac:dyDescent="0.3">
      <c r="A460" s="2">
        <f t="shared" si="40"/>
        <v>20250459</v>
      </c>
      <c r="B460" s="25">
        <v>45685</v>
      </c>
      <c r="C460" s="2" t="s">
        <v>486</v>
      </c>
      <c r="D460" s="2" t="s">
        <v>28</v>
      </c>
      <c r="E460" s="20" t="s">
        <v>525</v>
      </c>
      <c r="F460" s="20" t="s">
        <v>449</v>
      </c>
      <c r="G460" s="2" t="s">
        <v>32</v>
      </c>
      <c r="H460" s="3">
        <v>13</v>
      </c>
      <c r="I460" s="4">
        <v>22.6</v>
      </c>
      <c r="J460" s="5">
        <f t="shared" si="36"/>
        <v>293.8</v>
      </c>
      <c r="K460" s="6">
        <v>0.1</v>
      </c>
      <c r="L460" s="5">
        <f t="shared" si="37"/>
        <v>0</v>
      </c>
      <c r="M460" s="4">
        <v>9.5</v>
      </c>
      <c r="N460" s="5">
        <f t="shared" si="38"/>
        <v>0</v>
      </c>
      <c r="O460" s="5">
        <f t="shared" si="39"/>
        <v>0</v>
      </c>
      <c r="P460" s="2" t="s">
        <v>22</v>
      </c>
    </row>
    <row r="461" spans="1:16" x14ac:dyDescent="0.3">
      <c r="A461" s="2">
        <f t="shared" si="40"/>
        <v>20250460</v>
      </c>
      <c r="B461" s="25">
        <v>45685</v>
      </c>
      <c r="C461" s="2" t="s">
        <v>486</v>
      </c>
      <c r="D461" s="2" t="s">
        <v>16</v>
      </c>
      <c r="E461" s="20" t="s">
        <v>911</v>
      </c>
      <c r="F461" s="20" t="s">
        <v>450</v>
      </c>
      <c r="G461" s="2" t="s">
        <v>27</v>
      </c>
      <c r="H461" s="3">
        <v>4</v>
      </c>
      <c r="I461" s="4">
        <v>44.32</v>
      </c>
      <c r="J461" s="5">
        <f t="shared" si="36"/>
        <v>177.28</v>
      </c>
      <c r="K461" s="6">
        <v>0.05</v>
      </c>
      <c r="L461" s="5">
        <f t="shared" si="37"/>
        <v>168.416</v>
      </c>
      <c r="M461" s="4">
        <v>24</v>
      </c>
      <c r="N461" s="5">
        <f t="shared" si="38"/>
        <v>96</v>
      </c>
      <c r="O461" s="5">
        <f t="shared" si="39"/>
        <v>72.415999999999997</v>
      </c>
      <c r="P461" s="2" t="s">
        <v>19</v>
      </c>
    </row>
    <row r="462" spans="1:16" x14ac:dyDescent="0.3">
      <c r="A462" s="2">
        <f t="shared" si="40"/>
        <v>20250461</v>
      </c>
      <c r="B462" s="25">
        <v>45685</v>
      </c>
      <c r="C462" s="2" t="s">
        <v>486</v>
      </c>
      <c r="D462" s="2" t="s">
        <v>28</v>
      </c>
      <c r="E462" s="20" t="s">
        <v>912</v>
      </c>
      <c r="F462" s="20" t="s">
        <v>451</v>
      </c>
      <c r="G462" s="2" t="s">
        <v>18</v>
      </c>
      <c r="H462" s="3">
        <v>108</v>
      </c>
      <c r="I462" s="4">
        <v>8.66</v>
      </c>
      <c r="J462" s="5">
        <f t="shared" si="36"/>
        <v>935.28</v>
      </c>
      <c r="K462" s="6">
        <v>0.1</v>
      </c>
      <c r="L462" s="5">
        <f t="shared" si="37"/>
        <v>841.75199999999995</v>
      </c>
      <c r="M462" s="4">
        <v>1</v>
      </c>
      <c r="N462" s="5">
        <f t="shared" si="38"/>
        <v>108</v>
      </c>
      <c r="O462" s="5">
        <f t="shared" si="39"/>
        <v>733.75199999999995</v>
      </c>
      <c r="P462" s="2" t="s">
        <v>19</v>
      </c>
    </row>
    <row r="463" spans="1:16" x14ac:dyDescent="0.3">
      <c r="A463" s="2">
        <f t="shared" si="40"/>
        <v>20250462</v>
      </c>
      <c r="B463" s="25">
        <v>45685</v>
      </c>
      <c r="C463" s="2" t="s">
        <v>486</v>
      </c>
      <c r="D463" s="2" t="s">
        <v>28</v>
      </c>
      <c r="E463" s="20" t="s">
        <v>913</v>
      </c>
      <c r="F463" s="20" t="s">
        <v>452</v>
      </c>
      <c r="G463" s="2" t="s">
        <v>21</v>
      </c>
      <c r="H463" s="3">
        <v>18</v>
      </c>
      <c r="I463" s="4">
        <v>28.35</v>
      </c>
      <c r="J463" s="5">
        <f t="shared" si="36"/>
        <v>510.3</v>
      </c>
      <c r="K463" s="6">
        <v>0.08</v>
      </c>
      <c r="L463" s="5">
        <f t="shared" si="37"/>
        <v>0</v>
      </c>
      <c r="M463" s="4">
        <v>15</v>
      </c>
      <c r="N463" s="5">
        <f t="shared" si="38"/>
        <v>0</v>
      </c>
      <c r="O463" s="5">
        <f t="shared" si="39"/>
        <v>0</v>
      </c>
      <c r="P463" s="2" t="s">
        <v>22</v>
      </c>
    </row>
    <row r="464" spans="1:16" x14ac:dyDescent="0.3">
      <c r="A464" s="2">
        <f t="shared" si="40"/>
        <v>20250463</v>
      </c>
      <c r="B464" s="25">
        <v>45685</v>
      </c>
      <c r="C464" s="2" t="s">
        <v>486</v>
      </c>
      <c r="D464" s="2" t="s">
        <v>28</v>
      </c>
      <c r="E464" s="20" t="s">
        <v>914</v>
      </c>
      <c r="F464" s="20" t="s">
        <v>453</v>
      </c>
      <c r="G464" s="2" t="s">
        <v>18</v>
      </c>
      <c r="H464" s="3">
        <v>8</v>
      </c>
      <c r="I464" s="4">
        <v>9.6300000000000008</v>
      </c>
      <c r="J464" s="5">
        <f t="shared" si="36"/>
        <v>77.040000000000006</v>
      </c>
      <c r="K464" s="6">
        <v>0.12</v>
      </c>
      <c r="L464" s="5">
        <f t="shared" si="37"/>
        <v>67.795200000000008</v>
      </c>
      <c r="M464" s="4">
        <v>1</v>
      </c>
      <c r="N464" s="5">
        <f t="shared" si="38"/>
        <v>8</v>
      </c>
      <c r="O464" s="5">
        <f t="shared" si="39"/>
        <v>59.795200000000008</v>
      </c>
      <c r="P464" s="2" t="s">
        <v>19</v>
      </c>
    </row>
    <row r="465" spans="1:16" x14ac:dyDescent="0.3">
      <c r="A465" s="2">
        <f t="shared" si="40"/>
        <v>20250464</v>
      </c>
      <c r="B465" s="25">
        <v>45685</v>
      </c>
      <c r="C465" s="2" t="s">
        <v>486</v>
      </c>
      <c r="D465" s="2" t="s">
        <v>24</v>
      </c>
      <c r="E465" s="20" t="s">
        <v>915</v>
      </c>
      <c r="F465" s="20" t="s">
        <v>454</v>
      </c>
      <c r="G465" s="2" t="s">
        <v>43</v>
      </c>
      <c r="H465" s="3">
        <v>19</v>
      </c>
      <c r="I465" s="4">
        <v>13.33</v>
      </c>
      <c r="J465" s="5">
        <f t="shared" si="36"/>
        <v>253.27</v>
      </c>
      <c r="K465" s="6">
        <v>0</v>
      </c>
      <c r="L465" s="5">
        <f t="shared" si="37"/>
        <v>253.27</v>
      </c>
      <c r="M465" s="4">
        <v>3</v>
      </c>
      <c r="N465" s="5">
        <f t="shared" si="38"/>
        <v>57</v>
      </c>
      <c r="O465" s="5">
        <f t="shared" si="39"/>
        <v>196.27</v>
      </c>
      <c r="P465" s="2" t="s">
        <v>19</v>
      </c>
    </row>
    <row r="466" spans="1:16" x14ac:dyDescent="0.3">
      <c r="A466" s="2">
        <f t="shared" si="40"/>
        <v>20250465</v>
      </c>
      <c r="B466" s="25">
        <v>45685</v>
      </c>
      <c r="C466" s="2" t="s">
        <v>486</v>
      </c>
      <c r="D466" s="2" t="s">
        <v>24</v>
      </c>
      <c r="E466" s="20" t="s">
        <v>984</v>
      </c>
      <c r="F466" s="20" t="s">
        <v>455</v>
      </c>
      <c r="G466" s="2" t="s">
        <v>32</v>
      </c>
      <c r="H466" s="3">
        <v>7</v>
      </c>
      <c r="I466" s="4">
        <v>23.25</v>
      </c>
      <c r="J466" s="5">
        <f t="shared" si="36"/>
        <v>162.75</v>
      </c>
      <c r="K466" s="6">
        <v>0.02</v>
      </c>
      <c r="L466" s="5">
        <f t="shared" si="37"/>
        <v>0</v>
      </c>
      <c r="M466" s="4">
        <v>9.5</v>
      </c>
      <c r="N466" s="5">
        <f t="shared" si="38"/>
        <v>0</v>
      </c>
      <c r="O466" s="5">
        <f t="shared" si="39"/>
        <v>0</v>
      </c>
      <c r="P466" s="2" t="s">
        <v>22</v>
      </c>
    </row>
    <row r="467" spans="1:16" x14ac:dyDescent="0.3">
      <c r="A467" s="2">
        <f t="shared" si="40"/>
        <v>20250466</v>
      </c>
      <c r="B467" s="25">
        <v>45685</v>
      </c>
      <c r="C467" s="2" t="s">
        <v>486</v>
      </c>
      <c r="D467" s="2" t="s">
        <v>28</v>
      </c>
      <c r="E467" s="20" t="s">
        <v>916</v>
      </c>
      <c r="F467" s="20" t="s">
        <v>456</v>
      </c>
      <c r="G467" s="2" t="s">
        <v>21</v>
      </c>
      <c r="H467" s="3">
        <v>118</v>
      </c>
      <c r="I467" s="4">
        <v>29.04</v>
      </c>
      <c r="J467" s="5">
        <f t="shared" si="36"/>
        <v>3426.72</v>
      </c>
      <c r="K467" s="6">
        <v>0.15</v>
      </c>
      <c r="L467" s="5">
        <f t="shared" si="37"/>
        <v>2912.7119999999995</v>
      </c>
      <c r="M467" s="4">
        <v>15</v>
      </c>
      <c r="N467" s="5">
        <f t="shared" si="38"/>
        <v>1770</v>
      </c>
      <c r="O467" s="5">
        <f t="shared" si="39"/>
        <v>1142.7119999999995</v>
      </c>
      <c r="P467" s="2" t="s">
        <v>19</v>
      </c>
    </row>
    <row r="468" spans="1:16" x14ac:dyDescent="0.3">
      <c r="A468" s="2">
        <f t="shared" si="40"/>
        <v>20250467</v>
      </c>
      <c r="B468" s="25">
        <v>45685</v>
      </c>
      <c r="C468" s="2" t="s">
        <v>486</v>
      </c>
      <c r="D468" s="2" t="s">
        <v>28</v>
      </c>
      <c r="E468" s="20" t="s">
        <v>692</v>
      </c>
      <c r="F468" s="20" t="s">
        <v>457</v>
      </c>
      <c r="G468" s="2" t="s">
        <v>18</v>
      </c>
      <c r="H468" s="3">
        <v>60</v>
      </c>
      <c r="I468" s="4">
        <v>8.86</v>
      </c>
      <c r="J468" s="5">
        <f t="shared" si="36"/>
        <v>531.59999999999991</v>
      </c>
      <c r="K468" s="6">
        <v>0.15</v>
      </c>
      <c r="L468" s="5">
        <f t="shared" si="37"/>
        <v>0</v>
      </c>
      <c r="M468" s="4">
        <v>1</v>
      </c>
      <c r="N468" s="5">
        <f t="shared" si="38"/>
        <v>0</v>
      </c>
      <c r="O468" s="5">
        <f t="shared" si="39"/>
        <v>0</v>
      </c>
      <c r="P468" s="2" t="s">
        <v>22</v>
      </c>
    </row>
    <row r="469" spans="1:16" x14ac:dyDescent="0.3">
      <c r="A469" s="2">
        <f t="shared" ref="A469:A511" si="41">A468+1</f>
        <v>20250468</v>
      </c>
      <c r="B469" s="25">
        <v>45685</v>
      </c>
      <c r="C469" s="2" t="s">
        <v>486</v>
      </c>
      <c r="D469" s="2" t="s">
        <v>28</v>
      </c>
      <c r="E469" s="20" t="s">
        <v>958</v>
      </c>
      <c r="F469" s="20" t="s">
        <v>458</v>
      </c>
      <c r="G469" s="2" t="s">
        <v>43</v>
      </c>
      <c r="H469" s="3">
        <v>60</v>
      </c>
      <c r="I469" s="4">
        <v>13.5</v>
      </c>
      <c r="J469" s="5">
        <f t="shared" si="36"/>
        <v>810</v>
      </c>
      <c r="K469" s="6">
        <v>0.08</v>
      </c>
      <c r="L469" s="5">
        <f t="shared" si="37"/>
        <v>745.2</v>
      </c>
      <c r="M469" s="4">
        <v>3</v>
      </c>
      <c r="N469" s="5">
        <f t="shared" si="38"/>
        <v>180</v>
      </c>
      <c r="O469" s="5">
        <f t="shared" si="39"/>
        <v>565.20000000000005</v>
      </c>
      <c r="P469" s="2" t="s">
        <v>19</v>
      </c>
    </row>
    <row r="470" spans="1:16" x14ac:dyDescent="0.3">
      <c r="A470" s="2">
        <f t="shared" si="41"/>
        <v>20250469</v>
      </c>
      <c r="B470" s="25">
        <v>45685</v>
      </c>
      <c r="C470" s="2" t="s">
        <v>486</v>
      </c>
      <c r="D470" s="2" t="s">
        <v>28</v>
      </c>
      <c r="E470" s="20" t="s">
        <v>917</v>
      </c>
      <c r="F470" s="20" t="s">
        <v>459</v>
      </c>
      <c r="G470" s="2" t="s">
        <v>27</v>
      </c>
      <c r="H470" s="3">
        <v>11</v>
      </c>
      <c r="I470" s="4">
        <v>45.67</v>
      </c>
      <c r="J470" s="5">
        <f t="shared" si="36"/>
        <v>502.37</v>
      </c>
      <c r="K470" s="6">
        <v>0.12</v>
      </c>
      <c r="L470" s="5">
        <f t="shared" si="37"/>
        <v>442.0856</v>
      </c>
      <c r="M470" s="4">
        <v>24</v>
      </c>
      <c r="N470" s="5">
        <f t="shared" si="38"/>
        <v>264</v>
      </c>
      <c r="O470" s="5">
        <f t="shared" si="39"/>
        <v>178.0856</v>
      </c>
      <c r="P470" s="2" t="s">
        <v>19</v>
      </c>
    </row>
    <row r="471" spans="1:16" x14ac:dyDescent="0.3">
      <c r="A471" s="2">
        <f t="shared" si="41"/>
        <v>20250470</v>
      </c>
      <c r="B471" s="25">
        <v>45685</v>
      </c>
      <c r="C471" s="2" t="s">
        <v>486</v>
      </c>
      <c r="D471" s="2" t="s">
        <v>24</v>
      </c>
      <c r="E471" s="20" t="s">
        <v>541</v>
      </c>
      <c r="F471" s="20" t="s">
        <v>460</v>
      </c>
      <c r="G471" s="2" t="s">
        <v>27</v>
      </c>
      <c r="H471" s="3">
        <v>8</v>
      </c>
      <c r="I471" s="4">
        <v>45.15</v>
      </c>
      <c r="J471" s="5">
        <f t="shared" si="36"/>
        <v>361.2</v>
      </c>
      <c r="K471" s="6">
        <v>0.05</v>
      </c>
      <c r="L471" s="5">
        <f t="shared" si="37"/>
        <v>343.14</v>
      </c>
      <c r="M471" s="4">
        <v>24</v>
      </c>
      <c r="N471" s="5">
        <f t="shared" si="38"/>
        <v>192</v>
      </c>
      <c r="O471" s="5">
        <f t="shared" si="39"/>
        <v>151.13999999999999</v>
      </c>
      <c r="P471" s="2" t="s">
        <v>19</v>
      </c>
    </row>
    <row r="472" spans="1:16" x14ac:dyDescent="0.3">
      <c r="A472" s="2">
        <f t="shared" si="41"/>
        <v>20250471</v>
      </c>
      <c r="B472" s="25">
        <v>45685</v>
      </c>
      <c r="C472" s="2" t="s">
        <v>486</v>
      </c>
      <c r="D472" s="2" t="s">
        <v>28</v>
      </c>
      <c r="E472" s="20" t="s">
        <v>918</v>
      </c>
      <c r="F472" s="20" t="s">
        <v>461</v>
      </c>
      <c r="G472" s="2" t="s">
        <v>32</v>
      </c>
      <c r="H472" s="3">
        <v>119</v>
      </c>
      <c r="I472" s="4">
        <v>15.81</v>
      </c>
      <c r="J472" s="5">
        <f t="shared" si="36"/>
        <v>1881.39</v>
      </c>
      <c r="K472" s="6">
        <v>0.12</v>
      </c>
      <c r="L472" s="5">
        <f t="shared" si="37"/>
        <v>0</v>
      </c>
      <c r="M472" s="4">
        <v>9.5</v>
      </c>
      <c r="N472" s="5">
        <f t="shared" si="38"/>
        <v>0</v>
      </c>
      <c r="O472" s="5">
        <f t="shared" si="39"/>
        <v>0</v>
      </c>
      <c r="P472" s="2" t="s">
        <v>22</v>
      </c>
    </row>
    <row r="473" spans="1:16" x14ac:dyDescent="0.3">
      <c r="A473" s="2">
        <f t="shared" si="41"/>
        <v>20250472</v>
      </c>
      <c r="B473" s="25">
        <v>45685</v>
      </c>
      <c r="C473" s="2" t="s">
        <v>486</v>
      </c>
      <c r="D473" s="2" t="s">
        <v>24</v>
      </c>
      <c r="E473" s="20" t="s">
        <v>919</v>
      </c>
      <c r="F473" s="20" t="s">
        <v>462</v>
      </c>
      <c r="G473" s="2" t="s">
        <v>43</v>
      </c>
      <c r="H473" s="3">
        <v>13</v>
      </c>
      <c r="I473" s="4">
        <v>15.28</v>
      </c>
      <c r="J473" s="5">
        <f t="shared" si="36"/>
        <v>198.64</v>
      </c>
      <c r="K473" s="6">
        <v>0</v>
      </c>
      <c r="L473" s="5">
        <f t="shared" si="37"/>
        <v>198.64</v>
      </c>
      <c r="M473" s="4">
        <v>3</v>
      </c>
      <c r="N473" s="5">
        <f t="shared" si="38"/>
        <v>39</v>
      </c>
      <c r="O473" s="5">
        <f t="shared" si="39"/>
        <v>159.63999999999999</v>
      </c>
      <c r="P473" s="2" t="s">
        <v>19</v>
      </c>
    </row>
    <row r="474" spans="1:16" x14ac:dyDescent="0.3">
      <c r="A474" s="2">
        <f t="shared" si="41"/>
        <v>20250473</v>
      </c>
      <c r="B474" s="25">
        <v>45685</v>
      </c>
      <c r="C474" s="2" t="s">
        <v>486</v>
      </c>
      <c r="D474" s="2" t="s">
        <v>16</v>
      </c>
      <c r="E474" s="20" t="s">
        <v>885</v>
      </c>
      <c r="F474" s="20" t="s">
        <v>463</v>
      </c>
      <c r="G474" s="2" t="s">
        <v>43</v>
      </c>
      <c r="H474" s="3">
        <v>9</v>
      </c>
      <c r="I474" s="4">
        <v>14.72</v>
      </c>
      <c r="J474" s="5">
        <f t="shared" si="36"/>
        <v>132.48000000000002</v>
      </c>
      <c r="K474" s="6">
        <v>0.05</v>
      </c>
      <c r="L474" s="5">
        <f t="shared" si="37"/>
        <v>125.85600000000001</v>
      </c>
      <c r="M474" s="4">
        <v>3</v>
      </c>
      <c r="N474" s="5">
        <f t="shared" si="38"/>
        <v>27</v>
      </c>
      <c r="O474" s="5">
        <f t="shared" si="39"/>
        <v>98.856000000000009</v>
      </c>
      <c r="P474" s="2" t="s">
        <v>19</v>
      </c>
    </row>
    <row r="475" spans="1:16" x14ac:dyDescent="0.3">
      <c r="A475" s="2">
        <f t="shared" si="41"/>
        <v>20250474</v>
      </c>
      <c r="B475" s="25">
        <v>45685</v>
      </c>
      <c r="C475" s="2" t="s">
        <v>486</v>
      </c>
      <c r="D475" s="2" t="s">
        <v>28</v>
      </c>
      <c r="E475" s="20" t="s">
        <v>920</v>
      </c>
      <c r="F475" s="20" t="s">
        <v>464</v>
      </c>
      <c r="G475" s="2" t="s">
        <v>18</v>
      </c>
      <c r="H475" s="3">
        <v>25</v>
      </c>
      <c r="I475" s="4">
        <v>8.33</v>
      </c>
      <c r="J475" s="5">
        <f t="shared" si="36"/>
        <v>208.25</v>
      </c>
      <c r="K475" s="6">
        <v>0.1</v>
      </c>
      <c r="L475" s="5">
        <f t="shared" si="37"/>
        <v>187.42500000000001</v>
      </c>
      <c r="M475" s="4">
        <v>1</v>
      </c>
      <c r="N475" s="5">
        <f t="shared" si="38"/>
        <v>25</v>
      </c>
      <c r="O475" s="5">
        <f t="shared" si="39"/>
        <v>162.42500000000001</v>
      </c>
      <c r="P475" s="2" t="s">
        <v>19</v>
      </c>
    </row>
    <row r="476" spans="1:16" x14ac:dyDescent="0.3">
      <c r="A476" s="2">
        <f t="shared" si="41"/>
        <v>20250475</v>
      </c>
      <c r="B476" s="25">
        <v>45685</v>
      </c>
      <c r="C476" s="2" t="s">
        <v>486</v>
      </c>
      <c r="D476" s="2" t="s">
        <v>16</v>
      </c>
      <c r="E476" s="20" t="s">
        <v>985</v>
      </c>
      <c r="F476" s="20" t="s">
        <v>465</v>
      </c>
      <c r="G476" s="2" t="s">
        <v>43</v>
      </c>
      <c r="H476" s="3">
        <v>15</v>
      </c>
      <c r="I476" s="4">
        <v>15.54</v>
      </c>
      <c r="J476" s="5">
        <f t="shared" si="36"/>
        <v>233.1</v>
      </c>
      <c r="K476" s="6">
        <v>0.03</v>
      </c>
      <c r="L476" s="5">
        <f t="shared" si="37"/>
        <v>0</v>
      </c>
      <c r="M476" s="4">
        <v>3</v>
      </c>
      <c r="N476" s="5">
        <f t="shared" si="38"/>
        <v>0</v>
      </c>
      <c r="O476" s="5">
        <f t="shared" si="39"/>
        <v>0</v>
      </c>
      <c r="P476" s="2" t="s">
        <v>22</v>
      </c>
    </row>
    <row r="477" spans="1:16" x14ac:dyDescent="0.3">
      <c r="A477" s="2">
        <f t="shared" si="41"/>
        <v>20250476</v>
      </c>
      <c r="B477" s="25">
        <v>45685</v>
      </c>
      <c r="C477" s="2" t="s">
        <v>486</v>
      </c>
      <c r="D477" s="2" t="s">
        <v>28</v>
      </c>
      <c r="E477" s="20" t="s">
        <v>921</v>
      </c>
      <c r="F477" s="20" t="s">
        <v>466</v>
      </c>
      <c r="G477" s="2" t="s">
        <v>43</v>
      </c>
      <c r="H477" s="3">
        <v>3</v>
      </c>
      <c r="I477" s="4">
        <v>14.74</v>
      </c>
      <c r="J477" s="5">
        <f t="shared" si="36"/>
        <v>44.22</v>
      </c>
      <c r="K477" s="6">
        <v>0.08</v>
      </c>
      <c r="L477" s="5">
        <f t="shared" si="37"/>
        <v>40.682400000000001</v>
      </c>
      <c r="M477" s="4">
        <v>3</v>
      </c>
      <c r="N477" s="5">
        <f t="shared" si="38"/>
        <v>9</v>
      </c>
      <c r="O477" s="5">
        <f t="shared" si="39"/>
        <v>31.682400000000001</v>
      </c>
      <c r="P477" s="2" t="s">
        <v>19</v>
      </c>
    </row>
    <row r="478" spans="1:16" x14ac:dyDescent="0.3">
      <c r="A478" s="2">
        <f t="shared" si="41"/>
        <v>20250477</v>
      </c>
      <c r="B478" s="25">
        <v>45685</v>
      </c>
      <c r="C478" s="2" t="s">
        <v>486</v>
      </c>
      <c r="D478" s="2" t="s">
        <v>28</v>
      </c>
      <c r="E478" s="20" t="s">
        <v>922</v>
      </c>
      <c r="F478" s="20" t="s">
        <v>467</v>
      </c>
      <c r="G478" s="2" t="s">
        <v>18</v>
      </c>
      <c r="H478" s="3">
        <v>15</v>
      </c>
      <c r="I478" s="4">
        <v>8.59</v>
      </c>
      <c r="J478" s="5">
        <f t="shared" si="36"/>
        <v>128.85</v>
      </c>
      <c r="K478" s="6">
        <v>0.1</v>
      </c>
      <c r="L478" s="5">
        <f t="shared" si="37"/>
        <v>115.965</v>
      </c>
      <c r="M478" s="4">
        <v>1</v>
      </c>
      <c r="N478" s="5">
        <f t="shared" si="38"/>
        <v>15</v>
      </c>
      <c r="O478" s="5">
        <f t="shared" si="39"/>
        <v>100.965</v>
      </c>
      <c r="P478" s="2" t="s">
        <v>19</v>
      </c>
    </row>
    <row r="479" spans="1:16" x14ac:dyDescent="0.3">
      <c r="A479" s="2">
        <f t="shared" si="41"/>
        <v>20250478</v>
      </c>
      <c r="B479" s="25">
        <v>45686</v>
      </c>
      <c r="C479" s="2" t="s">
        <v>486</v>
      </c>
      <c r="D479" s="2" t="s">
        <v>24</v>
      </c>
      <c r="E479" s="20" t="s">
        <v>984</v>
      </c>
      <c r="F479" s="20" t="s">
        <v>455</v>
      </c>
      <c r="G479" s="2" t="s">
        <v>32</v>
      </c>
      <c r="H479" s="3">
        <v>7</v>
      </c>
      <c r="I479" s="4">
        <v>23.25</v>
      </c>
      <c r="J479" s="5">
        <f t="shared" ref="J479:J511" si="42">H479*I479</f>
        <v>162.75</v>
      </c>
      <c r="K479" s="6">
        <v>0.02</v>
      </c>
      <c r="L479" s="5">
        <f t="shared" ref="L479:L511" si="43">IF(P479="Returned",0,J479*(1-K479))</f>
        <v>0</v>
      </c>
      <c r="M479" s="4">
        <v>9.5</v>
      </c>
      <c r="N479" s="5">
        <f t="shared" ref="N479:N511" si="44">IF(P479="Returned",0,H479*M479)</f>
        <v>0</v>
      </c>
      <c r="O479" s="5">
        <f t="shared" ref="O479:O511" si="45">L479-N479</f>
        <v>0</v>
      </c>
      <c r="P479" s="2" t="s">
        <v>22</v>
      </c>
    </row>
    <row r="480" spans="1:16" x14ac:dyDescent="0.3">
      <c r="A480" s="2">
        <f t="shared" si="41"/>
        <v>20250479</v>
      </c>
      <c r="B480" s="25">
        <v>45686</v>
      </c>
      <c r="C480" s="2" t="s">
        <v>486</v>
      </c>
      <c r="D480" s="2" t="s">
        <v>28</v>
      </c>
      <c r="E480" s="20" t="s">
        <v>916</v>
      </c>
      <c r="F480" s="20" t="s">
        <v>456</v>
      </c>
      <c r="G480" s="2" t="s">
        <v>21</v>
      </c>
      <c r="H480" s="3">
        <v>118</v>
      </c>
      <c r="I480" s="4">
        <v>29.04</v>
      </c>
      <c r="J480" s="5">
        <f t="shared" si="42"/>
        <v>3426.72</v>
      </c>
      <c r="K480" s="6">
        <v>0.15</v>
      </c>
      <c r="L480" s="5">
        <f t="shared" si="43"/>
        <v>2912.7119999999995</v>
      </c>
      <c r="M480" s="4">
        <v>15</v>
      </c>
      <c r="N480" s="5">
        <f t="shared" si="44"/>
        <v>1770</v>
      </c>
      <c r="O480" s="5">
        <f t="shared" si="45"/>
        <v>1142.7119999999995</v>
      </c>
      <c r="P480" s="2" t="s">
        <v>19</v>
      </c>
    </row>
    <row r="481" spans="1:16" x14ac:dyDescent="0.3">
      <c r="A481" s="2">
        <f t="shared" si="41"/>
        <v>20250480</v>
      </c>
      <c r="B481" s="25">
        <v>45686</v>
      </c>
      <c r="C481" s="2" t="s">
        <v>486</v>
      </c>
      <c r="D481" s="2" t="s">
        <v>28</v>
      </c>
      <c r="E481" s="20" t="s">
        <v>692</v>
      </c>
      <c r="F481" s="20" t="s">
        <v>457</v>
      </c>
      <c r="G481" s="2" t="s">
        <v>18</v>
      </c>
      <c r="H481" s="3">
        <v>60</v>
      </c>
      <c r="I481" s="4">
        <v>8.86</v>
      </c>
      <c r="J481" s="5">
        <f t="shared" si="42"/>
        <v>531.59999999999991</v>
      </c>
      <c r="K481" s="6">
        <v>0.15</v>
      </c>
      <c r="L481" s="5">
        <f t="shared" si="43"/>
        <v>0</v>
      </c>
      <c r="M481" s="4">
        <v>1</v>
      </c>
      <c r="N481" s="5">
        <f t="shared" si="44"/>
        <v>0</v>
      </c>
      <c r="O481" s="5">
        <f t="shared" si="45"/>
        <v>0</v>
      </c>
      <c r="P481" s="2" t="s">
        <v>22</v>
      </c>
    </row>
    <row r="482" spans="1:16" x14ac:dyDescent="0.3">
      <c r="A482" s="2">
        <f t="shared" si="41"/>
        <v>20250481</v>
      </c>
      <c r="B482" s="25">
        <v>45686</v>
      </c>
      <c r="C482" s="2" t="s">
        <v>486</v>
      </c>
      <c r="D482" s="2" t="s">
        <v>28</v>
      </c>
      <c r="E482" s="20" t="s">
        <v>958</v>
      </c>
      <c r="F482" s="20" t="s">
        <v>458</v>
      </c>
      <c r="G482" s="2" t="s">
        <v>43</v>
      </c>
      <c r="H482" s="3">
        <v>60</v>
      </c>
      <c r="I482" s="4">
        <v>13.5</v>
      </c>
      <c r="J482" s="5">
        <f t="shared" si="42"/>
        <v>810</v>
      </c>
      <c r="K482" s="6">
        <v>0.08</v>
      </c>
      <c r="L482" s="5">
        <f t="shared" si="43"/>
        <v>745.2</v>
      </c>
      <c r="M482" s="4">
        <v>3</v>
      </c>
      <c r="N482" s="5">
        <f t="shared" si="44"/>
        <v>180</v>
      </c>
      <c r="O482" s="5">
        <f t="shared" si="45"/>
        <v>565.20000000000005</v>
      </c>
      <c r="P482" s="2" t="s">
        <v>19</v>
      </c>
    </row>
    <row r="483" spans="1:16" x14ac:dyDescent="0.3">
      <c r="A483" s="2">
        <f t="shared" si="41"/>
        <v>20250482</v>
      </c>
      <c r="B483" s="25">
        <v>45686</v>
      </c>
      <c r="C483" s="2" t="s">
        <v>486</v>
      </c>
      <c r="D483" s="2" t="s">
        <v>28</v>
      </c>
      <c r="E483" s="20" t="s">
        <v>917</v>
      </c>
      <c r="F483" s="20" t="s">
        <v>459</v>
      </c>
      <c r="G483" s="2" t="s">
        <v>27</v>
      </c>
      <c r="H483" s="3">
        <v>11</v>
      </c>
      <c r="I483" s="4">
        <v>45.67</v>
      </c>
      <c r="J483" s="5">
        <f t="shared" si="42"/>
        <v>502.37</v>
      </c>
      <c r="K483" s="6">
        <v>0.12</v>
      </c>
      <c r="L483" s="5">
        <f t="shared" si="43"/>
        <v>442.0856</v>
      </c>
      <c r="M483" s="4">
        <v>24</v>
      </c>
      <c r="N483" s="5">
        <f t="shared" si="44"/>
        <v>264</v>
      </c>
      <c r="O483" s="5">
        <f t="shared" si="45"/>
        <v>178.0856</v>
      </c>
      <c r="P483" s="2" t="s">
        <v>19</v>
      </c>
    </row>
    <row r="484" spans="1:16" x14ac:dyDescent="0.3">
      <c r="A484" s="2">
        <f t="shared" si="41"/>
        <v>20250483</v>
      </c>
      <c r="B484" s="25">
        <v>45686</v>
      </c>
      <c r="C484" s="2" t="s">
        <v>486</v>
      </c>
      <c r="D484" s="2" t="s">
        <v>24</v>
      </c>
      <c r="E484" s="20" t="s">
        <v>541</v>
      </c>
      <c r="F484" s="20" t="s">
        <v>460</v>
      </c>
      <c r="G484" s="2" t="s">
        <v>27</v>
      </c>
      <c r="H484" s="3">
        <v>8</v>
      </c>
      <c r="I484" s="4">
        <v>45.15</v>
      </c>
      <c r="J484" s="5">
        <f t="shared" si="42"/>
        <v>361.2</v>
      </c>
      <c r="K484" s="6">
        <v>0.05</v>
      </c>
      <c r="L484" s="5">
        <f t="shared" si="43"/>
        <v>343.14</v>
      </c>
      <c r="M484" s="4">
        <v>24</v>
      </c>
      <c r="N484" s="5">
        <f t="shared" si="44"/>
        <v>192</v>
      </c>
      <c r="O484" s="5">
        <f t="shared" si="45"/>
        <v>151.13999999999999</v>
      </c>
      <c r="P484" s="2" t="s">
        <v>19</v>
      </c>
    </row>
    <row r="485" spans="1:16" x14ac:dyDescent="0.3">
      <c r="A485" s="2">
        <f t="shared" si="41"/>
        <v>20250484</v>
      </c>
      <c r="B485" s="25">
        <v>45686</v>
      </c>
      <c r="C485" s="2" t="s">
        <v>486</v>
      </c>
      <c r="D485" s="2" t="s">
        <v>28</v>
      </c>
      <c r="E485" s="20" t="s">
        <v>918</v>
      </c>
      <c r="F485" s="20" t="s">
        <v>461</v>
      </c>
      <c r="G485" s="2" t="s">
        <v>32</v>
      </c>
      <c r="H485" s="3">
        <v>119</v>
      </c>
      <c r="I485" s="4">
        <v>15.81</v>
      </c>
      <c r="J485" s="5">
        <f t="shared" si="42"/>
        <v>1881.39</v>
      </c>
      <c r="K485" s="6">
        <v>0.12</v>
      </c>
      <c r="L485" s="5">
        <f t="shared" si="43"/>
        <v>0</v>
      </c>
      <c r="M485" s="4">
        <v>9.5</v>
      </c>
      <c r="N485" s="5">
        <f t="shared" si="44"/>
        <v>0</v>
      </c>
      <c r="O485" s="5">
        <f t="shared" si="45"/>
        <v>0</v>
      </c>
      <c r="P485" s="2" t="s">
        <v>22</v>
      </c>
    </row>
    <row r="486" spans="1:16" x14ac:dyDescent="0.3">
      <c r="A486" s="2">
        <f t="shared" si="41"/>
        <v>20250485</v>
      </c>
      <c r="B486" s="25">
        <v>45686</v>
      </c>
      <c r="C486" s="2" t="s">
        <v>486</v>
      </c>
      <c r="D486" s="2" t="s">
        <v>24</v>
      </c>
      <c r="E486" s="20" t="s">
        <v>919</v>
      </c>
      <c r="F486" s="20" t="s">
        <v>462</v>
      </c>
      <c r="G486" s="2" t="s">
        <v>43</v>
      </c>
      <c r="H486" s="3">
        <v>13</v>
      </c>
      <c r="I486" s="4">
        <v>15.28</v>
      </c>
      <c r="J486" s="5">
        <f t="shared" si="42"/>
        <v>198.64</v>
      </c>
      <c r="K486" s="6">
        <v>0</v>
      </c>
      <c r="L486" s="5">
        <f t="shared" si="43"/>
        <v>198.64</v>
      </c>
      <c r="M486" s="4">
        <v>3</v>
      </c>
      <c r="N486" s="5">
        <f t="shared" si="44"/>
        <v>39</v>
      </c>
      <c r="O486" s="5">
        <f t="shared" si="45"/>
        <v>159.63999999999999</v>
      </c>
      <c r="P486" s="2" t="s">
        <v>19</v>
      </c>
    </row>
    <row r="487" spans="1:16" x14ac:dyDescent="0.3">
      <c r="A487" s="2">
        <f t="shared" si="41"/>
        <v>20250486</v>
      </c>
      <c r="B487" s="25">
        <v>45686</v>
      </c>
      <c r="C487" s="2" t="s">
        <v>486</v>
      </c>
      <c r="D487" s="2" t="s">
        <v>16</v>
      </c>
      <c r="E487" s="20" t="s">
        <v>885</v>
      </c>
      <c r="F487" s="20" t="s">
        <v>463</v>
      </c>
      <c r="G487" s="2" t="s">
        <v>43</v>
      </c>
      <c r="H487" s="3">
        <v>9</v>
      </c>
      <c r="I487" s="4">
        <v>14.72</v>
      </c>
      <c r="J487" s="5">
        <f t="shared" si="42"/>
        <v>132.48000000000002</v>
      </c>
      <c r="K487" s="6">
        <v>0.05</v>
      </c>
      <c r="L487" s="5">
        <f t="shared" si="43"/>
        <v>125.85600000000001</v>
      </c>
      <c r="M487" s="4">
        <v>3</v>
      </c>
      <c r="N487" s="5">
        <f t="shared" si="44"/>
        <v>27</v>
      </c>
      <c r="O487" s="5">
        <f t="shared" si="45"/>
        <v>98.856000000000009</v>
      </c>
      <c r="P487" s="2" t="s">
        <v>19</v>
      </c>
    </row>
    <row r="488" spans="1:16" x14ac:dyDescent="0.3">
      <c r="A488" s="2">
        <f t="shared" si="41"/>
        <v>20250487</v>
      </c>
      <c r="B488" s="25">
        <v>45686</v>
      </c>
      <c r="C488" s="2" t="s">
        <v>486</v>
      </c>
      <c r="D488" s="2" t="s">
        <v>28</v>
      </c>
      <c r="E488" s="20" t="s">
        <v>920</v>
      </c>
      <c r="F488" s="20" t="s">
        <v>464</v>
      </c>
      <c r="G488" s="2" t="s">
        <v>18</v>
      </c>
      <c r="H488" s="3">
        <v>25</v>
      </c>
      <c r="I488" s="4">
        <v>8.33</v>
      </c>
      <c r="J488" s="5">
        <f t="shared" si="42"/>
        <v>208.25</v>
      </c>
      <c r="K488" s="6">
        <v>0.1</v>
      </c>
      <c r="L488" s="5">
        <f t="shared" si="43"/>
        <v>187.42500000000001</v>
      </c>
      <c r="M488" s="4">
        <v>1</v>
      </c>
      <c r="N488" s="5">
        <f t="shared" si="44"/>
        <v>25</v>
      </c>
      <c r="O488" s="5">
        <f t="shared" si="45"/>
        <v>162.42500000000001</v>
      </c>
      <c r="P488" s="2" t="s">
        <v>19</v>
      </c>
    </row>
    <row r="489" spans="1:16" x14ac:dyDescent="0.3">
      <c r="A489" s="2">
        <f t="shared" si="41"/>
        <v>20250488</v>
      </c>
      <c r="B489" s="25">
        <v>45686</v>
      </c>
      <c r="C489" s="2" t="s">
        <v>486</v>
      </c>
      <c r="D489" s="2" t="s">
        <v>16</v>
      </c>
      <c r="E489" s="20" t="s">
        <v>985</v>
      </c>
      <c r="F489" s="20" t="s">
        <v>465</v>
      </c>
      <c r="G489" s="2" t="s">
        <v>43</v>
      </c>
      <c r="H489" s="3">
        <v>15</v>
      </c>
      <c r="I489" s="4">
        <v>15.54</v>
      </c>
      <c r="J489" s="5">
        <f t="shared" si="42"/>
        <v>233.1</v>
      </c>
      <c r="K489" s="6">
        <v>0.03</v>
      </c>
      <c r="L489" s="5">
        <f t="shared" si="43"/>
        <v>0</v>
      </c>
      <c r="M489" s="4">
        <v>3</v>
      </c>
      <c r="N489" s="5">
        <f t="shared" si="44"/>
        <v>0</v>
      </c>
      <c r="O489" s="5">
        <f t="shared" si="45"/>
        <v>0</v>
      </c>
      <c r="P489" s="2" t="s">
        <v>22</v>
      </c>
    </row>
    <row r="490" spans="1:16" x14ac:dyDescent="0.3">
      <c r="A490" s="2">
        <f t="shared" si="41"/>
        <v>20250489</v>
      </c>
      <c r="B490" s="25">
        <v>45687</v>
      </c>
      <c r="C490" s="2" t="s">
        <v>486</v>
      </c>
      <c r="D490" s="2" t="s">
        <v>28</v>
      </c>
      <c r="E490" s="20" t="s">
        <v>921</v>
      </c>
      <c r="F490" s="20" t="s">
        <v>466</v>
      </c>
      <c r="G490" s="2" t="s">
        <v>43</v>
      </c>
      <c r="H490" s="3">
        <v>3</v>
      </c>
      <c r="I490" s="4">
        <v>14.74</v>
      </c>
      <c r="J490" s="5">
        <f t="shared" si="42"/>
        <v>44.22</v>
      </c>
      <c r="K490" s="6">
        <v>0.08</v>
      </c>
      <c r="L490" s="5">
        <f t="shared" si="43"/>
        <v>40.682400000000001</v>
      </c>
      <c r="M490" s="4">
        <v>3</v>
      </c>
      <c r="N490" s="5">
        <f t="shared" si="44"/>
        <v>9</v>
      </c>
      <c r="O490" s="5">
        <f t="shared" si="45"/>
        <v>31.682400000000001</v>
      </c>
      <c r="P490" s="2" t="s">
        <v>19</v>
      </c>
    </row>
    <row r="491" spans="1:16" x14ac:dyDescent="0.3">
      <c r="A491" s="2">
        <f t="shared" si="41"/>
        <v>20250490</v>
      </c>
      <c r="B491" s="25">
        <v>45687</v>
      </c>
      <c r="C491" s="2" t="s">
        <v>486</v>
      </c>
      <c r="D491" s="2" t="s">
        <v>28</v>
      </c>
      <c r="E491" s="20" t="s">
        <v>922</v>
      </c>
      <c r="F491" s="20" t="s">
        <v>467</v>
      </c>
      <c r="G491" s="2" t="s">
        <v>18</v>
      </c>
      <c r="H491" s="3">
        <v>15</v>
      </c>
      <c r="I491" s="4">
        <v>8.59</v>
      </c>
      <c r="J491" s="5">
        <f t="shared" si="42"/>
        <v>128.85</v>
      </c>
      <c r="K491" s="6">
        <v>0.1</v>
      </c>
      <c r="L491" s="5">
        <f t="shared" si="43"/>
        <v>115.965</v>
      </c>
      <c r="M491" s="4">
        <v>1</v>
      </c>
      <c r="N491" s="5">
        <f t="shared" si="44"/>
        <v>15</v>
      </c>
      <c r="O491" s="5">
        <f t="shared" si="45"/>
        <v>100.965</v>
      </c>
      <c r="P491" s="2" t="s">
        <v>19</v>
      </c>
    </row>
    <row r="492" spans="1:16" x14ac:dyDescent="0.3">
      <c r="A492" s="2">
        <f t="shared" si="41"/>
        <v>20250491</v>
      </c>
      <c r="B492" s="25">
        <v>45687</v>
      </c>
      <c r="C492" s="2" t="s">
        <v>486</v>
      </c>
      <c r="D492" s="2" t="s">
        <v>28</v>
      </c>
      <c r="E492" s="20" t="s">
        <v>838</v>
      </c>
      <c r="F492" s="20" t="s">
        <v>369</v>
      </c>
      <c r="G492" s="2" t="s">
        <v>27</v>
      </c>
      <c r="H492" s="3">
        <v>22</v>
      </c>
      <c r="I492" s="4">
        <v>42.94</v>
      </c>
      <c r="J492" s="5">
        <f t="shared" si="42"/>
        <v>944.68</v>
      </c>
      <c r="K492" s="6">
        <v>0.1</v>
      </c>
      <c r="L492" s="5">
        <f t="shared" si="43"/>
        <v>850.21199999999999</v>
      </c>
      <c r="M492" s="4">
        <v>24</v>
      </c>
      <c r="N492" s="5">
        <f t="shared" si="44"/>
        <v>528</v>
      </c>
      <c r="O492" s="5">
        <f t="shared" si="45"/>
        <v>322.21199999999999</v>
      </c>
      <c r="P492" s="2" t="s">
        <v>19</v>
      </c>
    </row>
    <row r="493" spans="1:16" x14ac:dyDescent="0.3">
      <c r="A493" s="2">
        <f t="shared" si="41"/>
        <v>20250492</v>
      </c>
      <c r="B493" s="25">
        <v>45687</v>
      </c>
      <c r="C493" s="2" t="s">
        <v>486</v>
      </c>
      <c r="D493" s="2" t="s">
        <v>28</v>
      </c>
      <c r="E493" s="20" t="s">
        <v>972</v>
      </c>
      <c r="F493" s="20" t="s">
        <v>370</v>
      </c>
      <c r="G493" s="2" t="s">
        <v>32</v>
      </c>
      <c r="H493" s="3">
        <v>38</v>
      </c>
      <c r="I493" s="4">
        <v>18.39</v>
      </c>
      <c r="J493" s="5">
        <f t="shared" si="42"/>
        <v>698.82</v>
      </c>
      <c r="K493" s="6">
        <v>0.08</v>
      </c>
      <c r="L493" s="5">
        <f t="shared" si="43"/>
        <v>0</v>
      </c>
      <c r="M493" s="4">
        <v>9.5</v>
      </c>
      <c r="N493" s="5">
        <f t="shared" si="44"/>
        <v>0</v>
      </c>
      <c r="O493" s="5">
        <f t="shared" si="45"/>
        <v>0</v>
      </c>
      <c r="P493" s="2" t="s">
        <v>22</v>
      </c>
    </row>
    <row r="494" spans="1:16" x14ac:dyDescent="0.3">
      <c r="A494" s="2">
        <f t="shared" si="41"/>
        <v>20250493</v>
      </c>
      <c r="B494" s="25">
        <v>45687</v>
      </c>
      <c r="C494" s="2" t="s">
        <v>486</v>
      </c>
      <c r="D494" s="2" t="s">
        <v>16</v>
      </c>
      <c r="E494" s="20" t="s">
        <v>839</v>
      </c>
      <c r="F494" s="20" t="s">
        <v>371</v>
      </c>
      <c r="G494" s="2" t="s">
        <v>27</v>
      </c>
      <c r="H494" s="3">
        <v>23</v>
      </c>
      <c r="I494" s="4">
        <v>51.33</v>
      </c>
      <c r="J494" s="5">
        <f t="shared" si="42"/>
        <v>1180.5899999999999</v>
      </c>
      <c r="K494" s="6">
        <v>0</v>
      </c>
      <c r="L494" s="5">
        <f t="shared" si="43"/>
        <v>1180.5899999999999</v>
      </c>
      <c r="M494" s="4">
        <v>24</v>
      </c>
      <c r="N494" s="5">
        <f t="shared" si="44"/>
        <v>552</v>
      </c>
      <c r="O494" s="5">
        <f t="shared" si="45"/>
        <v>628.58999999999992</v>
      </c>
      <c r="P494" s="2" t="s">
        <v>19</v>
      </c>
    </row>
    <row r="495" spans="1:16" x14ac:dyDescent="0.3">
      <c r="A495" s="2">
        <f t="shared" si="41"/>
        <v>20250494</v>
      </c>
      <c r="B495" s="25">
        <v>45687</v>
      </c>
      <c r="C495" s="2" t="s">
        <v>486</v>
      </c>
      <c r="D495" s="2" t="s">
        <v>28</v>
      </c>
      <c r="E495" s="20" t="s">
        <v>840</v>
      </c>
      <c r="F495" s="20" t="s">
        <v>372</v>
      </c>
      <c r="G495" s="2" t="s">
        <v>27</v>
      </c>
      <c r="H495" s="3">
        <v>22</v>
      </c>
      <c r="I495" s="4">
        <v>50.2</v>
      </c>
      <c r="J495" s="5">
        <f t="shared" si="42"/>
        <v>1104.4000000000001</v>
      </c>
      <c r="K495" s="6">
        <v>0.05</v>
      </c>
      <c r="L495" s="5">
        <f t="shared" si="43"/>
        <v>1049.18</v>
      </c>
      <c r="M495" s="4">
        <v>24</v>
      </c>
      <c r="N495" s="5">
        <f t="shared" si="44"/>
        <v>528</v>
      </c>
      <c r="O495" s="5">
        <f t="shared" si="45"/>
        <v>521.18000000000006</v>
      </c>
      <c r="P495" s="2" t="s">
        <v>19</v>
      </c>
    </row>
    <row r="496" spans="1:16" x14ac:dyDescent="0.3">
      <c r="A496" s="2">
        <f t="shared" si="41"/>
        <v>20250495</v>
      </c>
      <c r="B496" s="25">
        <v>45687</v>
      </c>
      <c r="C496" s="2" t="s">
        <v>486</v>
      </c>
      <c r="D496" s="2" t="s">
        <v>28</v>
      </c>
      <c r="E496" s="20" t="s">
        <v>841</v>
      </c>
      <c r="F496" s="20" t="s">
        <v>373</v>
      </c>
      <c r="G496" s="2" t="s">
        <v>43</v>
      </c>
      <c r="H496" s="3">
        <v>70</v>
      </c>
      <c r="I496" s="4">
        <v>15.48</v>
      </c>
      <c r="J496" s="5">
        <f t="shared" si="42"/>
        <v>1083.6000000000001</v>
      </c>
      <c r="K496" s="6">
        <v>0.08</v>
      </c>
      <c r="L496" s="5">
        <f t="shared" si="43"/>
        <v>996.91200000000015</v>
      </c>
      <c r="M496" s="4">
        <v>3</v>
      </c>
      <c r="N496" s="5">
        <f t="shared" si="44"/>
        <v>210</v>
      </c>
      <c r="O496" s="5">
        <f t="shared" si="45"/>
        <v>786.91200000000015</v>
      </c>
      <c r="P496" s="2" t="s">
        <v>19</v>
      </c>
    </row>
    <row r="497" spans="1:16" x14ac:dyDescent="0.3">
      <c r="A497" s="2">
        <f t="shared" si="41"/>
        <v>20250496</v>
      </c>
      <c r="B497" s="25">
        <v>45687</v>
      </c>
      <c r="C497" s="2" t="s">
        <v>486</v>
      </c>
      <c r="D497" s="2" t="s">
        <v>28</v>
      </c>
      <c r="E497" s="20" t="s">
        <v>842</v>
      </c>
      <c r="F497" s="20" t="s">
        <v>374</v>
      </c>
      <c r="G497" s="2" t="s">
        <v>21</v>
      </c>
      <c r="H497" s="3">
        <v>14</v>
      </c>
      <c r="I497" s="4">
        <v>25.71</v>
      </c>
      <c r="J497" s="5">
        <f t="shared" si="42"/>
        <v>359.94</v>
      </c>
      <c r="K497" s="6">
        <v>0.05</v>
      </c>
      <c r="L497" s="5">
        <f t="shared" si="43"/>
        <v>341.94299999999998</v>
      </c>
      <c r="M497" s="4">
        <v>15</v>
      </c>
      <c r="N497" s="5">
        <f t="shared" si="44"/>
        <v>210</v>
      </c>
      <c r="O497" s="5">
        <f t="shared" si="45"/>
        <v>131.94299999999998</v>
      </c>
      <c r="P497" s="2" t="s">
        <v>19</v>
      </c>
    </row>
    <row r="498" spans="1:16" x14ac:dyDescent="0.3">
      <c r="A498" s="2">
        <f t="shared" si="41"/>
        <v>20250497</v>
      </c>
      <c r="B498" s="25">
        <v>45687</v>
      </c>
      <c r="C498" s="2" t="s">
        <v>486</v>
      </c>
      <c r="D498" s="2" t="s">
        <v>16</v>
      </c>
      <c r="E498" s="20" t="s">
        <v>843</v>
      </c>
      <c r="F498" s="20" t="s">
        <v>375</v>
      </c>
      <c r="G498" s="2" t="s">
        <v>18</v>
      </c>
      <c r="H498" s="3">
        <v>7</v>
      </c>
      <c r="I498" s="4">
        <v>10.26</v>
      </c>
      <c r="J498" s="5">
        <f t="shared" si="42"/>
        <v>71.819999999999993</v>
      </c>
      <c r="K498" s="6">
        <v>0.05</v>
      </c>
      <c r="L498" s="5">
        <f t="shared" si="43"/>
        <v>68.228999999999985</v>
      </c>
      <c r="M498" s="4">
        <v>1</v>
      </c>
      <c r="N498" s="5">
        <f t="shared" si="44"/>
        <v>7</v>
      </c>
      <c r="O498" s="5">
        <f t="shared" si="45"/>
        <v>61.228999999999985</v>
      </c>
      <c r="P498" s="2" t="s">
        <v>19</v>
      </c>
    </row>
    <row r="499" spans="1:16" x14ac:dyDescent="0.3">
      <c r="A499" s="2">
        <f t="shared" si="41"/>
        <v>20250498</v>
      </c>
      <c r="B499" s="25">
        <v>45687</v>
      </c>
      <c r="C499" s="2" t="s">
        <v>486</v>
      </c>
      <c r="D499" s="2" t="s">
        <v>24</v>
      </c>
      <c r="E499" s="20" t="s">
        <v>697</v>
      </c>
      <c r="F499" s="20" t="s">
        <v>376</v>
      </c>
      <c r="G499" s="2" t="s">
        <v>43</v>
      </c>
      <c r="H499" s="3">
        <v>18</v>
      </c>
      <c r="I499" s="4">
        <v>19.27</v>
      </c>
      <c r="J499" s="5">
        <f t="shared" si="42"/>
        <v>346.86</v>
      </c>
      <c r="K499" s="6">
        <v>0</v>
      </c>
      <c r="L499" s="5">
        <f t="shared" si="43"/>
        <v>346.86</v>
      </c>
      <c r="M499" s="4">
        <v>3</v>
      </c>
      <c r="N499" s="5">
        <f t="shared" si="44"/>
        <v>54</v>
      </c>
      <c r="O499" s="5">
        <f t="shared" si="45"/>
        <v>292.86</v>
      </c>
      <c r="P499" s="2" t="s">
        <v>19</v>
      </c>
    </row>
    <row r="500" spans="1:16" x14ac:dyDescent="0.3">
      <c r="A500" s="2">
        <f t="shared" si="41"/>
        <v>20250499</v>
      </c>
      <c r="B500" s="25">
        <v>45687</v>
      </c>
      <c r="C500" s="2" t="s">
        <v>486</v>
      </c>
      <c r="D500" s="2" t="s">
        <v>16</v>
      </c>
      <c r="E500" s="20" t="s">
        <v>844</v>
      </c>
      <c r="F500" s="20" t="s">
        <v>377</v>
      </c>
      <c r="G500" s="2" t="s">
        <v>21</v>
      </c>
      <c r="H500" s="3">
        <v>5</v>
      </c>
      <c r="I500" s="4">
        <v>30.51</v>
      </c>
      <c r="J500" s="5">
        <f t="shared" si="42"/>
        <v>152.55000000000001</v>
      </c>
      <c r="K500" s="6">
        <v>0</v>
      </c>
      <c r="L500" s="5">
        <f t="shared" si="43"/>
        <v>152.55000000000001</v>
      </c>
      <c r="M500" s="4">
        <v>15</v>
      </c>
      <c r="N500" s="5">
        <f t="shared" si="44"/>
        <v>75</v>
      </c>
      <c r="O500" s="5">
        <f t="shared" si="45"/>
        <v>77.550000000000011</v>
      </c>
      <c r="P500" s="2" t="s">
        <v>19</v>
      </c>
    </row>
    <row r="501" spans="1:16" x14ac:dyDescent="0.3">
      <c r="A501" s="2">
        <f t="shared" si="41"/>
        <v>20250500</v>
      </c>
      <c r="B501" s="25">
        <v>45687</v>
      </c>
      <c r="C501" s="2" t="s">
        <v>486</v>
      </c>
      <c r="D501" s="2" t="s">
        <v>28</v>
      </c>
      <c r="E501" s="20" t="s">
        <v>845</v>
      </c>
      <c r="F501" s="20" t="s">
        <v>378</v>
      </c>
      <c r="G501" s="2" t="s">
        <v>32</v>
      </c>
      <c r="H501" s="3">
        <v>69</v>
      </c>
      <c r="I501" s="4">
        <v>18.260000000000002</v>
      </c>
      <c r="J501" s="5">
        <f t="shared" si="42"/>
        <v>1259.94</v>
      </c>
      <c r="K501" s="6">
        <v>0.08</v>
      </c>
      <c r="L501" s="5">
        <f t="shared" si="43"/>
        <v>1159.1448</v>
      </c>
      <c r="M501" s="4">
        <v>9.5</v>
      </c>
      <c r="N501" s="5">
        <f t="shared" si="44"/>
        <v>655.5</v>
      </c>
      <c r="O501" s="5">
        <f t="shared" si="45"/>
        <v>503.64480000000003</v>
      </c>
      <c r="P501" s="2" t="s">
        <v>19</v>
      </c>
    </row>
    <row r="502" spans="1:16" x14ac:dyDescent="0.3">
      <c r="A502" s="2">
        <f t="shared" si="41"/>
        <v>20250501</v>
      </c>
      <c r="B502" s="25">
        <v>45687</v>
      </c>
      <c r="C502" s="2" t="s">
        <v>486</v>
      </c>
      <c r="D502" s="2" t="s">
        <v>28</v>
      </c>
      <c r="E502" s="20" t="s">
        <v>846</v>
      </c>
      <c r="F502" s="20" t="s">
        <v>379</v>
      </c>
      <c r="G502" s="2" t="s">
        <v>18</v>
      </c>
      <c r="H502" s="3">
        <v>118</v>
      </c>
      <c r="I502" s="4">
        <v>10</v>
      </c>
      <c r="J502" s="5">
        <f t="shared" si="42"/>
        <v>1180</v>
      </c>
      <c r="K502" s="6">
        <v>0.05</v>
      </c>
      <c r="L502" s="5">
        <f t="shared" si="43"/>
        <v>1121</v>
      </c>
      <c r="M502" s="4">
        <v>1</v>
      </c>
      <c r="N502" s="5">
        <f t="shared" si="44"/>
        <v>118</v>
      </c>
      <c r="O502" s="5">
        <f t="shared" si="45"/>
        <v>1003</v>
      </c>
      <c r="P502" s="2" t="s">
        <v>19</v>
      </c>
    </row>
    <row r="503" spans="1:16" x14ac:dyDescent="0.3">
      <c r="A503" s="2">
        <f t="shared" si="41"/>
        <v>20250502</v>
      </c>
      <c r="B503" s="25">
        <v>45688</v>
      </c>
      <c r="C503" s="2" t="s">
        <v>486</v>
      </c>
      <c r="D503" s="2" t="s">
        <v>24</v>
      </c>
      <c r="E503" s="20" t="s">
        <v>847</v>
      </c>
      <c r="F503" s="20" t="s">
        <v>973</v>
      </c>
      <c r="G503" s="2" t="s">
        <v>32</v>
      </c>
      <c r="H503" s="3">
        <v>20</v>
      </c>
      <c r="I503" s="4">
        <v>20.97</v>
      </c>
      <c r="J503" s="5">
        <f t="shared" si="42"/>
        <v>419.4</v>
      </c>
      <c r="K503" s="6">
        <v>0</v>
      </c>
      <c r="L503" s="5">
        <f t="shared" si="43"/>
        <v>419.4</v>
      </c>
      <c r="M503" s="4">
        <v>9.5</v>
      </c>
      <c r="N503" s="5">
        <f t="shared" si="44"/>
        <v>190</v>
      </c>
      <c r="O503" s="5">
        <f t="shared" si="45"/>
        <v>229.39999999999998</v>
      </c>
      <c r="P503" s="2" t="s">
        <v>19</v>
      </c>
    </row>
    <row r="504" spans="1:16" x14ac:dyDescent="0.3">
      <c r="A504" s="2">
        <f t="shared" si="41"/>
        <v>20250503</v>
      </c>
      <c r="B504" s="25">
        <v>45688</v>
      </c>
      <c r="C504" s="2" t="s">
        <v>486</v>
      </c>
      <c r="D504" s="2" t="s">
        <v>28</v>
      </c>
      <c r="E504" s="20" t="s">
        <v>848</v>
      </c>
      <c r="F504" s="20" t="s">
        <v>380</v>
      </c>
      <c r="G504" s="2" t="s">
        <v>21</v>
      </c>
      <c r="H504" s="3">
        <v>44</v>
      </c>
      <c r="I504" s="4">
        <v>27.93</v>
      </c>
      <c r="J504" s="5">
        <f t="shared" si="42"/>
        <v>1228.92</v>
      </c>
      <c r="K504" s="6">
        <v>0.12</v>
      </c>
      <c r="L504" s="5">
        <f t="shared" si="43"/>
        <v>1081.4496000000001</v>
      </c>
      <c r="M504" s="4">
        <v>15</v>
      </c>
      <c r="N504" s="5">
        <f t="shared" si="44"/>
        <v>660</v>
      </c>
      <c r="O504" s="5">
        <f t="shared" si="45"/>
        <v>421.44960000000015</v>
      </c>
      <c r="P504" s="2" t="s">
        <v>19</v>
      </c>
    </row>
    <row r="505" spans="1:16" x14ac:dyDescent="0.3">
      <c r="A505" s="2">
        <f t="shared" si="41"/>
        <v>20250504</v>
      </c>
      <c r="B505" s="25">
        <v>45688</v>
      </c>
      <c r="C505" s="2" t="s">
        <v>486</v>
      </c>
      <c r="D505" s="2" t="s">
        <v>16</v>
      </c>
      <c r="E505" s="20" t="s">
        <v>849</v>
      </c>
      <c r="F505" s="20" t="s">
        <v>381</v>
      </c>
      <c r="G505" s="2" t="s">
        <v>32</v>
      </c>
      <c r="H505" s="3">
        <v>6</v>
      </c>
      <c r="I505" s="4">
        <v>21.42</v>
      </c>
      <c r="J505" s="5">
        <f t="shared" si="42"/>
        <v>128.52000000000001</v>
      </c>
      <c r="K505" s="6">
        <v>0.03</v>
      </c>
      <c r="L505" s="5">
        <f t="shared" si="43"/>
        <v>124.6644</v>
      </c>
      <c r="M505" s="4">
        <v>9.5</v>
      </c>
      <c r="N505" s="5">
        <f t="shared" si="44"/>
        <v>57</v>
      </c>
      <c r="O505" s="5">
        <f t="shared" si="45"/>
        <v>67.664400000000001</v>
      </c>
      <c r="P505" s="2" t="s">
        <v>19</v>
      </c>
    </row>
    <row r="506" spans="1:16" x14ac:dyDescent="0.3">
      <c r="A506" s="2">
        <f t="shared" si="41"/>
        <v>20250505</v>
      </c>
      <c r="B506" s="25">
        <v>45688</v>
      </c>
      <c r="C506" s="2" t="s">
        <v>486</v>
      </c>
      <c r="D506" s="2" t="s">
        <v>28</v>
      </c>
      <c r="E506" s="20" t="s">
        <v>850</v>
      </c>
      <c r="F506" s="20" t="s">
        <v>382</v>
      </c>
      <c r="G506" s="2" t="s">
        <v>27</v>
      </c>
      <c r="H506" s="3">
        <v>120</v>
      </c>
      <c r="I506" s="4">
        <v>41.89</v>
      </c>
      <c r="J506" s="5">
        <f t="shared" si="42"/>
        <v>5026.8</v>
      </c>
      <c r="K506" s="6">
        <v>0.08</v>
      </c>
      <c r="L506" s="5">
        <f t="shared" si="43"/>
        <v>4624.6559999999999</v>
      </c>
      <c r="M506" s="4">
        <v>24</v>
      </c>
      <c r="N506" s="5">
        <f t="shared" si="44"/>
        <v>2880</v>
      </c>
      <c r="O506" s="5">
        <f t="shared" si="45"/>
        <v>1744.6559999999999</v>
      </c>
      <c r="P506" s="2" t="s">
        <v>19</v>
      </c>
    </row>
    <row r="507" spans="1:16" x14ac:dyDescent="0.3">
      <c r="A507" s="2">
        <f t="shared" si="41"/>
        <v>20250506</v>
      </c>
      <c r="B507" s="25">
        <v>45688</v>
      </c>
      <c r="C507" s="2" t="s">
        <v>486</v>
      </c>
      <c r="D507" s="2" t="s">
        <v>28</v>
      </c>
      <c r="E507" s="20" t="s">
        <v>851</v>
      </c>
      <c r="F507" s="20" t="s">
        <v>383</v>
      </c>
      <c r="G507" s="2" t="s">
        <v>43</v>
      </c>
      <c r="H507" s="3">
        <v>43</v>
      </c>
      <c r="I507" s="4">
        <v>16.84</v>
      </c>
      <c r="J507" s="5">
        <f t="shared" si="42"/>
        <v>724.12</v>
      </c>
      <c r="K507" s="6">
        <v>0.05</v>
      </c>
      <c r="L507" s="5">
        <f t="shared" si="43"/>
        <v>687.91399999999999</v>
      </c>
      <c r="M507" s="4">
        <v>3</v>
      </c>
      <c r="N507" s="5">
        <f t="shared" si="44"/>
        <v>129</v>
      </c>
      <c r="O507" s="5">
        <f t="shared" si="45"/>
        <v>558.91399999999999</v>
      </c>
      <c r="P507" s="2" t="s">
        <v>19</v>
      </c>
    </row>
    <row r="508" spans="1:16" x14ac:dyDescent="0.3">
      <c r="A508" s="2">
        <f t="shared" si="41"/>
        <v>20250507</v>
      </c>
      <c r="B508" s="25">
        <v>45688</v>
      </c>
      <c r="C508" s="2" t="s">
        <v>486</v>
      </c>
      <c r="D508" s="2" t="s">
        <v>16</v>
      </c>
      <c r="E508" s="20" t="s">
        <v>852</v>
      </c>
      <c r="F508" s="20" t="s">
        <v>384</v>
      </c>
      <c r="G508" s="2" t="s">
        <v>27</v>
      </c>
      <c r="H508" s="3">
        <v>14</v>
      </c>
      <c r="I508" s="4">
        <v>46.38</v>
      </c>
      <c r="J508" s="5">
        <f t="shared" si="42"/>
        <v>649.32000000000005</v>
      </c>
      <c r="K508" s="6">
        <v>0</v>
      </c>
      <c r="L508" s="5">
        <f t="shared" si="43"/>
        <v>649.32000000000005</v>
      </c>
      <c r="M508" s="4">
        <v>24</v>
      </c>
      <c r="N508" s="5">
        <f t="shared" si="44"/>
        <v>336</v>
      </c>
      <c r="O508" s="5">
        <f t="shared" si="45"/>
        <v>313.32000000000005</v>
      </c>
      <c r="P508" s="2" t="s">
        <v>19</v>
      </c>
    </row>
    <row r="509" spans="1:16" x14ac:dyDescent="0.3">
      <c r="A509" s="2">
        <f t="shared" si="41"/>
        <v>20250508</v>
      </c>
      <c r="B509" s="25">
        <v>45688</v>
      </c>
      <c r="C509" s="2" t="s">
        <v>486</v>
      </c>
      <c r="D509" s="2" t="s">
        <v>16</v>
      </c>
      <c r="E509" s="20" t="s">
        <v>853</v>
      </c>
      <c r="F509" s="20" t="s">
        <v>385</v>
      </c>
      <c r="G509" s="2" t="s">
        <v>43</v>
      </c>
      <c r="H509" s="3">
        <v>21</v>
      </c>
      <c r="I509" s="4">
        <v>16</v>
      </c>
      <c r="J509" s="5">
        <f t="shared" si="42"/>
        <v>336</v>
      </c>
      <c r="K509" s="6">
        <v>0.03</v>
      </c>
      <c r="L509" s="5">
        <f t="shared" si="43"/>
        <v>325.92</v>
      </c>
      <c r="M509" s="4">
        <v>3</v>
      </c>
      <c r="N509" s="5">
        <f t="shared" si="44"/>
        <v>63</v>
      </c>
      <c r="O509" s="5">
        <f t="shared" si="45"/>
        <v>262.92</v>
      </c>
      <c r="P509" s="2" t="s">
        <v>19</v>
      </c>
    </row>
    <row r="510" spans="1:16" x14ac:dyDescent="0.3">
      <c r="A510" s="2">
        <f t="shared" si="41"/>
        <v>20250509</v>
      </c>
      <c r="B510" s="25">
        <v>45688</v>
      </c>
      <c r="C510" s="2" t="s">
        <v>486</v>
      </c>
      <c r="D510" s="2" t="s">
        <v>24</v>
      </c>
      <c r="E510" s="20" t="s">
        <v>854</v>
      </c>
      <c r="F510" s="20" t="s">
        <v>386</v>
      </c>
      <c r="G510" s="2" t="s">
        <v>43</v>
      </c>
      <c r="H510" s="3">
        <v>9</v>
      </c>
      <c r="I510" s="4">
        <v>18.45</v>
      </c>
      <c r="J510" s="5">
        <f t="shared" si="42"/>
        <v>166.04999999999998</v>
      </c>
      <c r="K510" s="6">
        <v>0.03</v>
      </c>
      <c r="L510" s="5">
        <f t="shared" si="43"/>
        <v>161.06849999999997</v>
      </c>
      <c r="M510" s="4">
        <v>3</v>
      </c>
      <c r="N510" s="5">
        <f t="shared" si="44"/>
        <v>27</v>
      </c>
      <c r="O510" s="5">
        <f t="shared" si="45"/>
        <v>134.06849999999997</v>
      </c>
      <c r="P510" s="2" t="s">
        <v>19</v>
      </c>
    </row>
    <row r="511" spans="1:16" x14ac:dyDescent="0.3">
      <c r="A511" s="2">
        <f t="shared" si="41"/>
        <v>20250510</v>
      </c>
      <c r="B511" s="25">
        <v>45688</v>
      </c>
      <c r="C511" s="2" t="s">
        <v>486</v>
      </c>
      <c r="D511" s="2" t="s">
        <v>16</v>
      </c>
      <c r="E511" s="20" t="s">
        <v>855</v>
      </c>
      <c r="F511" s="20" t="s">
        <v>387</v>
      </c>
      <c r="G511" s="2" t="s">
        <v>32</v>
      </c>
      <c r="H511" s="3">
        <v>19</v>
      </c>
      <c r="I511" s="4">
        <v>20.21</v>
      </c>
      <c r="J511" s="5">
        <f t="shared" si="42"/>
        <v>383.99</v>
      </c>
      <c r="K511" s="6">
        <v>7.0000000000000007E-2</v>
      </c>
      <c r="L511" s="5">
        <f t="shared" si="43"/>
        <v>357.11070000000001</v>
      </c>
      <c r="M511" s="4">
        <v>9.5</v>
      </c>
      <c r="N511" s="5">
        <f t="shared" si="44"/>
        <v>180.5</v>
      </c>
      <c r="O511" s="5">
        <f t="shared" si="45"/>
        <v>176.61070000000001</v>
      </c>
      <c r="P511" s="2" t="s">
        <v>19</v>
      </c>
    </row>
    <row r="512" spans="1:16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</sheetData>
  <phoneticPr fontId="10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J26" sqref="J26"/>
    </sheetView>
  </sheetViews>
  <sheetFormatPr defaultRowHeight="14.4" x14ac:dyDescent="0.3"/>
  <cols>
    <col min="1" max="3" width="12" customWidth="1"/>
    <col min="4" max="4" width="16" customWidth="1"/>
    <col min="5" max="5" width="14" customWidth="1"/>
    <col min="6" max="6" width="16" customWidth="1"/>
    <col min="7" max="7" width="14" bestFit="1" customWidth="1"/>
    <col min="8" max="8" width="5.21875" customWidth="1"/>
    <col min="9" max="9" width="24" bestFit="1" customWidth="1"/>
    <col min="10" max="11" width="16" customWidth="1"/>
    <col min="13" max="13" width="13" style="26" customWidth="1"/>
  </cols>
  <sheetData>
    <row r="1" spans="1:13" ht="18" x14ac:dyDescent="0.35">
      <c r="A1" s="23" t="s">
        <v>468</v>
      </c>
      <c r="B1" s="22"/>
      <c r="C1" s="22"/>
      <c r="D1" s="22"/>
      <c r="E1" s="22"/>
      <c r="F1" s="22"/>
      <c r="M1" s="24"/>
    </row>
    <row r="3" spans="1:13" x14ac:dyDescent="0.3">
      <c r="A3" s="21" t="s">
        <v>469</v>
      </c>
      <c r="B3" s="22"/>
      <c r="C3" s="22"/>
      <c r="I3" s="21" t="s">
        <v>470</v>
      </c>
      <c r="J3" s="22"/>
    </row>
    <row r="4" spans="1:13" x14ac:dyDescent="0.3">
      <c r="A4" s="7" t="s">
        <v>471</v>
      </c>
      <c r="B4" s="8" t="s">
        <v>472</v>
      </c>
      <c r="I4" s="7" t="s">
        <v>473</v>
      </c>
      <c r="J4" s="9">
        <f>SUM(B13:B24)</f>
        <v>477</v>
      </c>
    </row>
    <row r="5" spans="1:13" x14ac:dyDescent="0.3">
      <c r="A5" s="7" t="s">
        <v>474</v>
      </c>
      <c r="B5" s="27">
        <f>J4</f>
        <v>477</v>
      </c>
      <c r="I5" s="7" t="s">
        <v>475</v>
      </c>
      <c r="J5" s="9">
        <f>SUM(C13:C24)</f>
        <v>10931</v>
      </c>
    </row>
    <row r="6" spans="1:13" x14ac:dyDescent="0.3">
      <c r="A6" s="7" t="s">
        <v>476</v>
      </c>
      <c r="B6" s="8" t="s">
        <v>986</v>
      </c>
      <c r="I6" s="7" t="s">
        <v>477</v>
      </c>
      <c r="J6" s="10">
        <f>SUM(D13:D24)</f>
        <v>199543.73869999999</v>
      </c>
    </row>
    <row r="7" spans="1:13" x14ac:dyDescent="0.3">
      <c r="A7" s="7" t="s">
        <v>478</v>
      </c>
      <c r="B7" s="29">
        <v>45658</v>
      </c>
      <c r="C7" s="28"/>
      <c r="I7" s="7" t="s">
        <v>479</v>
      </c>
      <c r="J7" s="10">
        <f>SUM(F13:F24)</f>
        <v>100242.23869999999</v>
      </c>
    </row>
    <row r="8" spans="1:13" x14ac:dyDescent="0.3">
      <c r="A8" s="7" t="s">
        <v>480</v>
      </c>
      <c r="B8" s="11">
        <v>45691</v>
      </c>
      <c r="I8" s="7" t="s">
        <v>481</v>
      </c>
      <c r="J8" s="10">
        <f>IFERROR(SUM(D13:D24)/SUM(B13:B24),0)</f>
        <v>418.33068909853245</v>
      </c>
    </row>
    <row r="9" spans="1:13" x14ac:dyDescent="0.3">
      <c r="I9" s="7" t="s">
        <v>482</v>
      </c>
      <c r="J9" s="12">
        <f>IFERROR(SUM(F13:F24)/SUM(D13:D24),0)</f>
        <v>0.50235722430112006</v>
      </c>
    </row>
    <row r="11" spans="1:13" x14ac:dyDescent="0.3">
      <c r="A11" s="21" t="s">
        <v>483</v>
      </c>
      <c r="B11" s="22"/>
      <c r="C11" s="22"/>
      <c r="D11" s="22"/>
      <c r="E11" s="22"/>
      <c r="F11" s="22"/>
      <c r="I11" s="21" t="s">
        <v>484</v>
      </c>
      <c r="J11" s="22"/>
      <c r="K11" s="22"/>
    </row>
    <row r="12" spans="1:13" x14ac:dyDescent="0.3">
      <c r="A12" s="13" t="s">
        <v>2</v>
      </c>
      <c r="B12" s="13" t="s">
        <v>485</v>
      </c>
      <c r="C12" s="13" t="s">
        <v>6</v>
      </c>
      <c r="D12" s="13" t="s">
        <v>10</v>
      </c>
      <c r="E12" s="13" t="s">
        <v>12</v>
      </c>
      <c r="F12" s="13" t="s">
        <v>13</v>
      </c>
      <c r="G12" s="13" t="s">
        <v>482</v>
      </c>
      <c r="I12" s="13" t="s">
        <v>3</v>
      </c>
      <c r="J12" s="13" t="s">
        <v>10</v>
      </c>
      <c r="K12" s="13" t="s">
        <v>13</v>
      </c>
    </row>
    <row r="13" spans="1:13" x14ac:dyDescent="0.3">
      <c r="A13" t="s">
        <v>486</v>
      </c>
      <c r="B13" s="31">
        <f>COUNTIF('Sales Report'!$C$2:$C$478,A13)</f>
        <v>477</v>
      </c>
      <c r="C13" s="31">
        <f>SUMIF('Sales Report'!$C$2:$C$478,A13,'Sales Report'!$H$2:$H$478)</f>
        <v>10931</v>
      </c>
      <c r="D13" s="30">
        <f>SUMIF('Sales Report'!$C$2:$C$478,A13,'Sales Report'!$L$2:$L$478)</f>
        <v>199543.73869999999</v>
      </c>
      <c r="E13" s="30">
        <f>SUMIF('Sales Report'!$C$2:$C$478,A13,'Sales Report'!$N$2:$N$478)</f>
        <v>99301.5</v>
      </c>
      <c r="F13" s="5">
        <f t="shared" ref="F13:F24" si="0">D13-E13</f>
        <v>100242.23869999999</v>
      </c>
      <c r="G13" s="14">
        <f t="shared" ref="G13:G25" si="1">IFERROR(F13/D13,0)</f>
        <v>0.50235722430112006</v>
      </c>
      <c r="I13" t="s">
        <v>16</v>
      </c>
      <c r="J13" s="15">
        <f>SUMIF('Sales Report'!$D$2:$D$478,I13,'Sales Report'!$L$2:$L$478)</f>
        <v>45916.574099999983</v>
      </c>
      <c r="K13" s="15">
        <f>SUMIF('Sales Report'!$D$2:$D$478,I13,'Sales Report'!$O$2:$O$478)</f>
        <v>26538.574100000005</v>
      </c>
    </row>
    <row r="14" spans="1:13" x14ac:dyDescent="0.3">
      <c r="A14" t="s">
        <v>487</v>
      </c>
      <c r="B14" s="31">
        <f>COUNTIF('Sales Report'!$C$2:$C$478,A14)</f>
        <v>0</v>
      </c>
      <c r="C14" s="31">
        <f>SUMIF('Sales Report'!$C$2:$C$478,A14,'Sales Report'!$H$2:$H$478)</f>
        <v>0</v>
      </c>
      <c r="D14" s="30">
        <f>SUMIF('Sales Report'!$C$2:$C$478,A14,'Sales Report'!$L$2:$L$478)</f>
        <v>0</v>
      </c>
      <c r="E14" s="30">
        <f>SUMIF('Sales Report'!$C$2:$C$478,A14,'Sales Report'!$N$2:$N$478)</f>
        <v>0</v>
      </c>
      <c r="F14" s="5">
        <f t="shared" si="0"/>
        <v>0</v>
      </c>
      <c r="G14" s="14">
        <f t="shared" si="1"/>
        <v>0</v>
      </c>
      <c r="I14" t="s">
        <v>24</v>
      </c>
      <c r="J14" s="15">
        <f>SUMIF('Sales Report'!$D$2:$D$478,I14,'Sales Report'!$L$2:$L$478)</f>
        <v>26623.691900000005</v>
      </c>
      <c r="K14" s="15">
        <f>SUMIF('Sales Report'!$D$2:$D$478,I14,'Sales Report'!$O$2:$O$478)</f>
        <v>15463.691899999993</v>
      </c>
    </row>
    <row r="15" spans="1:13" x14ac:dyDescent="0.3">
      <c r="A15" t="s">
        <v>15</v>
      </c>
      <c r="B15" s="31">
        <f>COUNTIF('Sales Report'!$C$2:$C$478,A15)</f>
        <v>0</v>
      </c>
      <c r="C15" s="31">
        <f>SUMIF('Sales Report'!$C$2:$C$478,A15,'Sales Report'!$H$2:$H$478)</f>
        <v>0</v>
      </c>
      <c r="D15" s="30">
        <f>SUMIF('Sales Report'!$C$2:$C$478,A15,'Sales Report'!$L$2:$L$478)</f>
        <v>0</v>
      </c>
      <c r="E15" s="30">
        <f>SUMIF('Sales Report'!$C$2:$C$478,A15,'Sales Report'!$N$2:$N$478)</f>
        <v>0</v>
      </c>
      <c r="F15" s="5">
        <f t="shared" si="0"/>
        <v>0</v>
      </c>
      <c r="G15" s="14">
        <f t="shared" si="1"/>
        <v>0</v>
      </c>
      <c r="I15" t="s">
        <v>28</v>
      </c>
      <c r="J15" s="15">
        <f>SUMIF('Sales Report'!$D$2:$D$478,I15,'Sales Report'!$L$2:$L$478)</f>
        <v>127003.47269999998</v>
      </c>
      <c r="K15" s="15">
        <f>SUMIF('Sales Report'!$D$2:$D$478,I15,'Sales Report'!$O$2:$O$478)</f>
        <v>58239.972699999991</v>
      </c>
    </row>
    <row r="16" spans="1:13" x14ac:dyDescent="0.3">
      <c r="A16" t="s">
        <v>488</v>
      </c>
      <c r="B16" s="31">
        <f>COUNTIF('Sales Report'!$C$2:$C$478,A16)</f>
        <v>0</v>
      </c>
      <c r="C16" s="31">
        <f>SUMIF('Sales Report'!$C$2:$C$478,A16,'Sales Report'!$H$2:$H$478)</f>
        <v>0</v>
      </c>
      <c r="D16" s="30">
        <f>SUMIF('Sales Report'!$C$2:$C$478,A16,'Sales Report'!$L$2:$L$478)</f>
        <v>0</v>
      </c>
      <c r="E16" s="30">
        <f>SUMIF('Sales Report'!$C$2:$C$478,A16,'Sales Report'!$N$2:$N$478)</f>
        <v>0</v>
      </c>
      <c r="F16" s="5">
        <f t="shared" si="0"/>
        <v>0</v>
      </c>
      <c r="G16" s="14">
        <f t="shared" si="1"/>
        <v>0</v>
      </c>
      <c r="J16" s="15"/>
      <c r="K16" s="15"/>
    </row>
    <row r="17" spans="1:11" x14ac:dyDescent="0.3">
      <c r="A17" t="s">
        <v>489</v>
      </c>
      <c r="B17" s="31">
        <f>COUNTIF('Sales Report'!$C$2:$C$478,A17)</f>
        <v>0</v>
      </c>
      <c r="C17" s="31">
        <f>SUMIF('Sales Report'!$C$2:$C$478,A17,'Sales Report'!$H$2:$H$478)</f>
        <v>0</v>
      </c>
      <c r="D17" s="30">
        <f>SUMIF('Sales Report'!$C$2:$C$478,A17,'Sales Report'!$L$2:$L$478)</f>
        <v>0</v>
      </c>
      <c r="E17" s="30">
        <f>SUMIF('Sales Report'!$C$2:$C$478,A17,'Sales Report'!$N$2:$N$478)</f>
        <v>0</v>
      </c>
      <c r="F17" s="5">
        <f t="shared" si="0"/>
        <v>0</v>
      </c>
      <c r="G17" s="14">
        <f t="shared" si="1"/>
        <v>0</v>
      </c>
      <c r="J17" s="15"/>
      <c r="K17" s="15"/>
    </row>
    <row r="18" spans="1:11" x14ac:dyDescent="0.3">
      <c r="A18" t="s">
        <v>490</v>
      </c>
      <c r="B18" s="31">
        <f>COUNTIF('Sales Report'!$C$2:$C$478,A18)</f>
        <v>0</v>
      </c>
      <c r="C18" s="31">
        <f>SUMIF('Sales Report'!$C$2:$C$478,A18,'Sales Report'!$H$2:$H$478)</f>
        <v>0</v>
      </c>
      <c r="D18" s="30">
        <f>SUMIF('Sales Report'!$C$2:$C$478,A18,'Sales Report'!$L$2:$L$478)</f>
        <v>0</v>
      </c>
      <c r="E18" s="30">
        <f>SUMIF('Sales Report'!$C$2:$C$478,A18,'Sales Report'!$N$2:$N$478)</f>
        <v>0</v>
      </c>
      <c r="F18" s="5">
        <f t="shared" si="0"/>
        <v>0</v>
      </c>
      <c r="G18" s="14">
        <f t="shared" si="1"/>
        <v>0</v>
      </c>
      <c r="J18" s="15"/>
      <c r="K18" s="15"/>
    </row>
    <row r="19" spans="1:11" x14ac:dyDescent="0.3">
      <c r="A19" t="s">
        <v>491</v>
      </c>
      <c r="B19" s="31">
        <f>COUNTIF('Sales Report'!$C$2:$C$478,A19)</f>
        <v>0</v>
      </c>
      <c r="C19" s="31">
        <f>SUMIF('Sales Report'!$C$2:$C$478,A19,'Sales Report'!$H$2:$H$478)</f>
        <v>0</v>
      </c>
      <c r="D19" s="30">
        <f>SUMIF('Sales Report'!$C$2:$C$478,A19,'Sales Report'!$L$2:$L$478)</f>
        <v>0</v>
      </c>
      <c r="E19" s="30">
        <f>SUMIF('Sales Report'!$C$2:$C$478,A19,'Sales Report'!$N$2:$N$478)</f>
        <v>0</v>
      </c>
      <c r="F19" s="5">
        <f t="shared" si="0"/>
        <v>0</v>
      </c>
      <c r="G19" s="14">
        <f t="shared" si="1"/>
        <v>0</v>
      </c>
      <c r="J19" s="15"/>
      <c r="K19" s="15"/>
    </row>
    <row r="20" spans="1:11" x14ac:dyDescent="0.3">
      <c r="A20" t="s">
        <v>492</v>
      </c>
      <c r="B20" s="31">
        <f>COUNTIF('Sales Report'!$C$2:$C$478,A20)</f>
        <v>0</v>
      </c>
      <c r="C20" s="31">
        <f>SUMIF('Sales Report'!$C$2:$C$478,A20,'Sales Report'!$H$2:$H$478)</f>
        <v>0</v>
      </c>
      <c r="D20" s="30">
        <f>SUMIF('Sales Report'!$C$2:$C$478,A20,'Sales Report'!$L$2:$L$478)</f>
        <v>0</v>
      </c>
      <c r="E20" s="30">
        <f>SUMIF('Sales Report'!$C$2:$C$478,A20,'Sales Report'!$N$2:$N$478)</f>
        <v>0</v>
      </c>
      <c r="F20" s="5">
        <f t="shared" si="0"/>
        <v>0</v>
      </c>
      <c r="G20" s="14">
        <f t="shared" si="1"/>
        <v>0</v>
      </c>
      <c r="J20" s="15"/>
      <c r="K20" s="15"/>
    </row>
    <row r="21" spans="1:11" x14ac:dyDescent="0.3">
      <c r="A21" t="s">
        <v>493</v>
      </c>
      <c r="B21" s="31">
        <f>COUNTIF('Sales Report'!$C$2:$C$478,A21)</f>
        <v>0</v>
      </c>
      <c r="C21" s="31">
        <f>SUMIF('Sales Report'!$C$2:$C$478,A21,'Sales Report'!$H$2:$H$478)</f>
        <v>0</v>
      </c>
      <c r="D21" s="30">
        <f>SUMIF('Sales Report'!$C$2:$C$478,A21,'Sales Report'!$L$2:$L$478)</f>
        <v>0</v>
      </c>
      <c r="E21" s="30">
        <f>SUMIF('Sales Report'!$C$2:$C$478,A21,'Sales Report'!$N$2:$N$478)</f>
        <v>0</v>
      </c>
      <c r="F21" s="5">
        <f t="shared" si="0"/>
        <v>0</v>
      </c>
      <c r="G21" s="14">
        <f t="shared" si="1"/>
        <v>0</v>
      </c>
      <c r="J21" s="15"/>
      <c r="K21" s="15"/>
    </row>
    <row r="22" spans="1:11" x14ac:dyDescent="0.3">
      <c r="A22" t="s">
        <v>494</v>
      </c>
      <c r="B22" s="31">
        <f>COUNTIF('Sales Report'!$C$2:$C$478,A22)</f>
        <v>0</v>
      </c>
      <c r="C22" s="31">
        <f>SUMIF('Sales Report'!$C$2:$C$478,A22,'Sales Report'!$H$2:$H$478)</f>
        <v>0</v>
      </c>
      <c r="D22" s="30">
        <f>SUMIF('Sales Report'!$C$2:$C$478,A22,'Sales Report'!$L$2:$L$478)</f>
        <v>0</v>
      </c>
      <c r="E22" s="30">
        <f>SUMIF('Sales Report'!$C$2:$C$478,A22,'Sales Report'!$N$2:$N$478)</f>
        <v>0</v>
      </c>
      <c r="F22" s="5">
        <f t="shared" si="0"/>
        <v>0</v>
      </c>
      <c r="G22" s="14">
        <f t="shared" si="1"/>
        <v>0</v>
      </c>
      <c r="J22" s="15"/>
      <c r="K22" s="15"/>
    </row>
    <row r="23" spans="1:11" x14ac:dyDescent="0.3">
      <c r="A23" t="s">
        <v>495</v>
      </c>
      <c r="B23" s="31">
        <f>COUNTIF('Sales Report'!$C$2:$C$478,A23)</f>
        <v>0</v>
      </c>
      <c r="C23" s="31">
        <f>SUMIF('Sales Report'!$C$2:$C$478,A23,'Sales Report'!$H$2:$H$478)</f>
        <v>0</v>
      </c>
      <c r="D23" s="30">
        <f>SUMIF('Sales Report'!$C$2:$C$478,A23,'Sales Report'!$L$2:$L$478)</f>
        <v>0</v>
      </c>
      <c r="E23" s="30">
        <f>SUMIF('Sales Report'!$C$2:$C$478,A23,'Sales Report'!$N$2:$N$478)</f>
        <v>0</v>
      </c>
      <c r="F23" s="5">
        <f t="shared" si="0"/>
        <v>0</v>
      </c>
      <c r="G23" s="14">
        <f t="shared" si="1"/>
        <v>0</v>
      </c>
      <c r="J23" s="15"/>
      <c r="K23" s="15"/>
    </row>
    <row r="24" spans="1:11" x14ac:dyDescent="0.3">
      <c r="A24" t="s">
        <v>496</v>
      </c>
      <c r="B24" s="31">
        <f>COUNTIF('Sales Report'!$C$2:$C$478,A24)</f>
        <v>0</v>
      </c>
      <c r="C24" s="31">
        <f>SUMIF('Sales Report'!$C$2:$C$478,A24,'Sales Report'!$H$2:$H$478)</f>
        <v>0</v>
      </c>
      <c r="D24" s="30">
        <f>SUMIF('Sales Report'!$C$2:$C$478,A24,'Sales Report'!$L$2:$L$478)</f>
        <v>0</v>
      </c>
      <c r="E24" s="30">
        <f>SUMIF('Sales Report'!$C$2:$C$478,A24,'Sales Report'!$N$2:$N$478)</f>
        <v>0</v>
      </c>
      <c r="F24" s="5">
        <f t="shared" si="0"/>
        <v>0</v>
      </c>
      <c r="G24" s="14">
        <f t="shared" si="1"/>
        <v>0</v>
      </c>
      <c r="J24" s="15"/>
      <c r="K24" s="15"/>
    </row>
    <row r="25" spans="1:11" x14ac:dyDescent="0.3">
      <c r="A25" s="16" t="s">
        <v>497</v>
      </c>
      <c r="B25" s="17">
        <f>SUM(B13:B24)</f>
        <v>477</v>
      </c>
      <c r="C25" s="17">
        <f>SUM(C13:C24)</f>
        <v>10931</v>
      </c>
      <c r="D25" s="18">
        <f>SUM(D13:D24)</f>
        <v>199543.73869999999</v>
      </c>
      <c r="E25" s="18">
        <f>SUM(E13:E24)</f>
        <v>99301.5</v>
      </c>
      <c r="F25" s="18">
        <f>SUM(F13:F24)</f>
        <v>100242.23869999999</v>
      </c>
      <c r="G25" s="19">
        <f t="shared" si="1"/>
        <v>0.50235722430112006</v>
      </c>
      <c r="J25" s="15"/>
      <c r="K25" s="15"/>
    </row>
  </sheetData>
  <sortState xmlns:xlrd2="http://schemas.microsoft.com/office/spreadsheetml/2017/richdata2" ref="M2:M501">
    <sortCondition ref="M1:M501"/>
  </sortState>
  <mergeCells count="6">
    <mergeCell ref="A11:F11"/>
    <mergeCell ref="I11:K11"/>
    <mergeCell ref="A1:F1"/>
    <mergeCell ref="A3:C3"/>
    <mergeCell ref="I3:J3"/>
    <mergeCell ref="B7:C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active.571@outlook.com</cp:lastModifiedBy>
  <dcterms:created xsi:type="dcterms:W3CDTF">2026-03-22T14:22:28Z</dcterms:created>
  <dcterms:modified xsi:type="dcterms:W3CDTF">2026-03-22T15:10:41Z</dcterms:modified>
</cp:coreProperties>
</file>